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80834f3f2747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DF_MEMO_1" sheetId="1" r:id="R85e8da874a0844a7"/>
    <x:sheet xmlns:r="http://schemas.openxmlformats.org/officeDocument/2006/relationships" name="PDF_MEMO_2" sheetId="2" r:id="Rec89866ea5f74c71"/>
    <x:sheet xmlns:r="http://schemas.openxmlformats.org/officeDocument/2006/relationships" name="_PDF_DATA" sheetId="3" r:id="R4eae195eae6b4b32"/>
    <x:sheet xmlns:r="http://schemas.openxmlformats.org/officeDocument/2006/relationships" name="DASHBOARD" sheetId="4" r:id="Ra6888b88a8ef46e5"/>
    <x:sheet xmlns:r="http://schemas.openxmlformats.org/officeDocument/2006/relationships" name="_DASH_DATA" sheetId="5" r:id="Rd6af5199e77848e0"/>
    <x:sheet xmlns:r="http://schemas.openxmlformats.org/officeDocument/2006/relationships" name="Regime Co-occurrence" sheetId="6" r:id="R466d3dd8d24a483e"/>
    <x:sheet xmlns:r="http://schemas.openxmlformats.org/officeDocument/2006/relationships" name="Stress Event Audit" sheetId="7" r:id="R5053dd366cad4fe3"/>
  </x:sheets>
</x:workbook>
</file>

<file path=xl/sharedStrings.xml><?xml version="1.0" encoding="utf-8"?>
<x:sst xmlns:x="http://schemas.openxmlformats.org/spreadsheetml/2006/main">
  <x:si>
    <x:t xml:space="preserve">Executive Summary</x:t>
  </x:si>
  <x:si>
    <x:t xml:space="preserve">Current Signal Snapshot</x:t>
  </x:si>
  <x:si>
    <x:t xml:space="preserve">Portfolio Stance</x:t>
  </x:si>
  <x:si>
    <x:t xml:space="preserve">Risk Appetite</x:t>
  </x:si>
  <x:si>
    <x:t xml:space="preserve">Asset Class</x:t>
  </x:si>
  <x:si>
    <x:t xml:space="preserve">Stance</x:t>
  </x:si>
  <x:si>
    <x:t xml:space="preserve">Band</x:t>
  </x:si>
  <x:si>
    <x:t xml:space="preserve">Risk Appetite Score</x:t>
  </x:si>
  <x:si>
    <x:t xml:space="preserve">Direction of Travel</x:t>
  </x:si>
  <x:si>
    <x:t xml:space="preserve">Rates &amp; Inflation</x:t>
  </x:si>
  <x:si>
    <x:t xml:space="preserve">Rate Pressure</x:t>
  </x:si>
  <x:si>
    <x:t xml:space="preserve">Inflation Concern</x:t>
  </x:si>
  <x:si>
    <x:t xml:space="preserve">Real Yield Tightening</x:t>
  </x:si>
  <x:si>
    <x:t xml:space="preserve">Data Quality</x:t>
  </x:si>
  <x:si>
    <x:t xml:space="preserve">Risk Appetite Score Map: 0 = Risk-On, 1–2 = Neutral, 3–4 = Risk-Off</x:t>
  </x:si>
  <x:si>
    <x:t xml:space="preserve">Rates &amp; Inflation Regime: 1 = Rate + Inflation Pressure | 2 = Rate Pressure Only | 3 = Inflation Concern Only | 4 = No Pressure</x:t>
  </x:si>
  <x:si>
    <x:t xml:space="preserve">Decision Rationale</x:t>
  </x:si>
  <x:si>
    <x:t xml:space="preserve">What Changed</x:t>
  </x:si>
  <x:si>
    <x:t xml:space="preserve">Next Triggers</x:t>
  </x:si>
  <x:si>
    <x:t xml:space="preserve">Signals are regime indicators, not return forecasts.</x:t>
  </x:si>
  <x:si>
    <x:t xml:space="preserve">Inputs include HY OAS, NFCI, VIX, Initial Claims; 10Y yield, breakeven inflation, real yield, and 2Y yield.</x:t>
  </x:si>
  <x:si>
    <x:t xml:space="preserve">Supporting Evidence &amp; Framework Audit | Driver Detail | Rule Map | Stress Event Audit</x:t>
  </x:si>
  <x:si>
    <x:t xml:space="preserve">Driver Detail &amp; Signal Evidence</x:t>
  </x:si>
  <x:si>
    <x:t xml:space="preserve"> Driver flags explain regime evidence, not return forecasts.</x:t>
  </x:si>
  <x:si>
    <x:t xml:space="preserve">Note: L+T = Level + Trend.</x:t>
  </x:si>
  <x:si>
    <x:t xml:space="preserve">Risk Appetite — Historical Signal Evidence</x:t>
  </x:si>
  <x:si>
    <x:t xml:space="preserve">Rates &amp; Inflation — Historical Regime Evidence</x:t>
  </x:si>
  <x:si>
    <x:t xml:space="preserve">Risk Appetite Engine</x:t>
  </x:si>
  <x:si>
    <x:t xml:space="preserve">Rates &amp; Inflation Regime Matrix</x:t>
  </x:si>
  <x:si>
    <x:t xml:space="preserve">Rate</x:t>
  </x:si>
  <x:si>
    <x:t xml:space="preserve">Inflation</x:t>
  </x:si>
  <x:si>
    <x:t xml:space="preserve">Regime</x:t>
  </x:si>
  <x:si>
    <x:t xml:space="preserve">Display Label</x:t>
  </x:si>
  <x:si>
    <x:t xml:space="preserve">Rates &amp; Inflation Engine</x:t>
  </x:si>
  <x:si>
    <x:t xml:space="preserve">Component</x:t>
  </x:si>
  <x:si>
    <x:t xml:space="preserve">Trigger Rule </x:t>
  </x:si>
  <x:si>
    <x:t xml:space="preserve">Role</x:t>
  </x:si>
  <x:si>
    <x:t xml:space="preserve">Historical Stress Audit</x:t>
  </x:si>
  <x:si>
    <x:t xml:space="preserve">Evnet</x:t>
  </x:si>
  <x:si>
    <x:t xml:space="preserve">Stress Detection</x:t>
  </x:si>
  <x:si>
    <x:t xml:space="preserve">Detection Lag (Weeks)</x:t>
  </x:si>
  <x:si>
    <x:t xml:space="preserve">Peak Risk Score</x:t>
  </x:si>
  <x:si>
    <x:t xml:space="preserve">Peak R&amp;I Regime</x:t>
  </x:si>
  <x:si>
    <x:t xml:space="preserve">Stress-event results are framework diagnostics, not return backtests.; Lag 0 may include pre-existing stress.; R1–R4 denote Rates &amp; Inflation regimes.</x:t>
  </x:si>
  <x:si>
    <x:t xml:space="preserve">Macro Regime-to-Portfolio Decision Framework</x:t>
  </x:si>
  <x:si>
    <x:t xml:space="preserve">Asset</x:t>
  </x:si>
  <x:si>
    <x:t xml:space="preserve">Equity</x:t>
  </x:si>
  <x:si>
    <x:t xml:space="preserve">Duration</x:t>
  </x:si>
  <x:si>
    <x:t xml:space="preserve">Cash</x:t>
  </x:si>
  <x:si>
    <x:t xml:space="preserve">TIPS</x:t>
  </x:si>
  <x:si>
    <x:t xml:space="preserve">Regime Map: 1 = Rate + Inflation | 2 = Rate only | 3 = Inflation only | 4 = No pressure</x:t>
  </x:si>
  <x:si>
    <x:t xml:space="preserve">Risk Appetite Score History</x:t>
  </x:si>
  <x:si>
    <x:t xml:space="preserve">Rates &amp; Inflation Regime Timeline</x:t>
  </x:si>
  <x:si>
    <x:t xml:space="preserve">Real Yield Tightening Context</x:t>
  </x:si>
  <x:si>
    <x:t xml:space="preserve">Rate Pressure Context</x:t>
  </x:si>
  <x:si>
    <x:t xml:space="preserve">P80 = rate-pressure threshold; P20 = context only.</x:t>
  </x:si>
  <x:si>
    <x:t xml:space="preserve">P80 = tightening threshold; P20 = context only.</x:t>
  </x:si>
  <x:si>
    <x:t xml:space="preserve">Inflation Expectations Context</x:t>
  </x:si>
  <x:si>
    <x:t xml:space="preserve">Yield Curve Context</x:t>
  </x:si>
  <x:si>
    <x:t xml:space="preserve">P80 = inflation-concern threshold; P20 = context only.</x:t>
  </x:si>
  <x:si>
    <x:t xml:space="preserve">Below zero indicates an inverted yield curve.</x:t>
  </x:si>
  <x:si>
    <x:t xml:space="preserve">Stress-event Snapshot / Method Notes</x:t>
  </x:si>
  <x:si>
    <x:t xml:space="preserve">This dashboard monitors a rule-based macro-regime framework. Risk Appetite tracks market stress; Rates &amp; Inflation Regime tracks rate pressure and inflation concern. Signals are weekly indicators, not return forecasts.</x:t>
  </x:si>
</x:sst>
</file>

<file path=xl/styles.xml><?xml version="1.0" encoding="utf-8"?>
<x:styleSheet xmlns:x="http://schemas.openxmlformats.org/spreadsheetml/2006/main">
  <x:numFmts count="4">
    <x:numFmt numFmtId="164" formatCode="yyyy\-mm\-dd"/>
    <x:numFmt numFmtId="165" formatCode="yyyy\-mm\-dd\ hh:mm:ss"/>
    <x:numFmt numFmtId="166" formatCode="yyyy\-mm\-dd\ h:mm:ss"/>
    <x:numFmt numFmtId="167" formatCode="mmm\ d\,\ yyyy"/>
  </x:numFmts>
  <x:fonts count="22">
    <x:font>
      <x:sz val="11"/>
      <x:color theme="1"/>
      <x:name val="Aptos Narrow"/>
    </x:font>
    <x:font>
      <x:b/>
      <x:sz val="11"/>
      <x:name val="Aptos Narrow"/>
    </x:font>
    <x:font>
      <x:b/>
      <x:sz val="11"/>
      <x:color theme="0"/>
      <x:name val="Aptos Narrow"/>
    </x:font>
    <x:font>
      <x:i/>
      <x:sz val="10"/>
      <x:color theme="2" tint="-0.74999"/>
      <x:name val="Aptos Narrow"/>
    </x:font>
    <x:font>
      <x:i/>
      <x:sz val="9"/>
      <x:color theme="2" tint="-0.74999"/>
      <x:name val="Aptos Narrow"/>
    </x:font>
    <x:font>
      <x:i/>
      <x:sz val="9"/>
      <x:color theme="1" tint="0.15"/>
      <x:name val="Aptos Narrow"/>
    </x:font>
    <x:font>
      <x:b/>
      <x:sz val="20"/>
      <x:color theme="0"/>
      <x:name val="Aptos Narrow"/>
    </x:font>
    <x:font>
      <x:sz val="9"/>
      <x:color theme="2" tint="-0.74999"/>
      <x:name val="Aptos Narrow"/>
    </x:font>
    <x:font>
      <x:sz val="10"/>
      <x:color theme="2" tint="-0.74999"/>
      <x:name val="Aptos Narrow"/>
    </x:font>
    <x:font>
      <x:sz val="10"/>
      <x:color theme="1"/>
      <x:name val="Aptos Narrow"/>
    </x:font>
    <x:font>
      <x:b/>
      <x:sz val="20"/>
      <x:color theme="1"/>
      <x:name val="Aptos Narrow"/>
    </x:font>
    <x:font>
      <x:sz val="10"/>
      <x:color theme="1"/>
      <x:name val="Aptos Narrow"/>
    </x:font>
    <x:font>
      <x:sz val="9"/>
      <x:color theme="1"/>
      <x:name val="Aptos Narrow"/>
    </x:font>
    <x:font>
      <x:sz val="9"/>
      <x:color theme="1"/>
      <x:name val="Aptos Narrow"/>
    </x:font>
    <x:font>
      <x:sz val="10"/>
      <x:color theme="1"/>
      <x:name val="Aptos Narrow"/>
    </x:font>
    <x:font>
      <x:b/>
      <x:sz val="10"/>
      <x:color theme="0"/>
      <x:name val="Aptos Narrow"/>
    </x:font>
    <x:font>
      <x:b/>
      <x:sz val="10"/>
      <x:color theme="1"/>
      <x:name val="Aptos Narrow"/>
    </x:font>
    <x:font>
      <x:sz val="8"/>
      <x:color theme="1"/>
      <x:name val="Aptos Narrow"/>
    </x:font>
    <x:font>
      <x:b/>
      <x:sz val="11"/>
      <x:color rgb="FFFFFFFF"/>
      <x:name val="Aptos Narrow"/>
    </x:font>
    <x:font>
      <x:b/>
      <x:sz val="11"/>
      <x:color theme="0"/>
      <x:name val="Aptos Narrow"/>
    </x:font>
    <x:font>
      <x:i/>
      <x:sz val="8"/>
      <x:color theme="2" tint="-0.74999"/>
      <x:name val="Aptos Narrow"/>
    </x:font>
    <x:font>
      <x:sz val="8"/>
      <x:color theme="2" tint="-0.74999"/>
      <x:name val="Aptos Narrow"/>
    </x:font>
  </x:fonts>
  <x:fills count="7">
    <x:fill>
      <x:patternFill patternType="none"/>
    </x:fill>
    <x:fill>
      <x:patternFill patternType="gray125"/>
    </x:fill>
    <x:fill>
      <x:patternFill patternType="solid">
        <x:fgColor rgb="FF002060"/>
      </x:patternFill>
    </x:fill>
    <x:fill>
      <x:patternFill patternType="solid">
        <x:fgColor theme="3" tint="0.24998"/>
      </x:patternFill>
    </x:fill>
    <x:fill>
      <x:patternFill patternType="solid">
        <x:fgColor rgb="FF0070C0"/>
      </x:patternFill>
    </x:fill>
    <x:fill>
      <x:patternFill patternType="solid">
        <x:fgColor theme="0"/>
      </x:patternFill>
    </x:fill>
    <x:fill>
      <x:patternFill patternType="solid">
        <x:fgColor rgb="FF1F4E78"/>
      </x:patternFill>
    </x:fill>
  </x:fills>
  <x:borders count="11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02">
    <x:xf numFmtId="0" fontId="0" fillId="0" borderId="0" xfId="0"/>
    <x:xf numFmtId="164" fontId="0" fillId="0" borderId="0" xfId="0" applyNumberFormat="1"/>
    <x:xf numFmtId="165" fontId="0" fillId="0" borderId="0" xfId="0" applyNumberFormat="1"/>
    <x:xf numFmtId="0" fontId="1" fillId="0" borderId="0" xfId="0" applyFont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0" fillId="0" borderId="0" xfId="0" applyAlignment="1">
      <x:alignment vertical="top" wrapText="1"/>
    </x:xf>
    <x:xf numFmtId="164" fontId="0" fillId="0" borderId="0" xfId="0" applyNumberFormat="1" applyAlignment="1">
      <x:alignment vertical="top" wrapText="1"/>
    </x:xf>
    <x:xf numFmtId="0" fontId="1" fillId="0" borderId="0" xfId="0" applyFont="1" applyAlignment="1">
      <x:alignment vertical="top" wrapText="1"/>
    </x:xf>
    <x:xf numFmtId="0" fontId="0" fillId="0" borderId="0" xfId="0" applyAlignment="1">
      <x:alignment horizontal="center" vertical="center"/>
    </x:xf>
    <x:xf numFmtId="166" fontId="0" fillId="0" borderId="0" xfId="0" applyNumberFormat="1"/>
    <x:xf numFmtId="14" fontId="0" fillId="0" borderId="0" xfId="0" applyNumberFormat="1"/>
    <x:xf numFmtId="0" fontId="4" fillId="0" borderId="0" xfId="0" applyFont="1"/>
    <x:xf numFmtId="0" fontId="2" fillId="0" borderId="0" xfId="0" applyFont="1"/>
    <x:xf numFmtId="0" fontId="2" fillId="3" borderId="1" xfId="0" applyFont="1" applyFill="1" applyBorder="1"/>
    <x:xf numFmtId="0" fontId="2" fillId="2" borderId="1" xfId="0" applyFont="1" applyFill="1" applyBorder="1"/>
    <x:xf numFmtId="0" fontId="5" fillId="0" borderId="0" xfId="0" applyFont="1"/>
    <x:xf numFmtId="0" fontId="0" fillId="0" borderId="0" xfId="0" applyAlignment="1">
      <x:alignment horizontal="left" vertical="top"/>
    </x:xf>
    <x:xf numFmtId="0" fontId="0" fillId="0" borderId="0" xfId="0" applyAlignment="1">
      <x:alignment horizontal="left" vertical="top" wrapText="1"/>
    </x:xf>
    <x:xf numFmtId="0" fontId="0" fillId="0" borderId="1" xfId="0" applyBorder="1" applyAlignment="1">
      <x:alignment horizontal="left"/>
    </x:xf>
    <x:xf numFmtId="0" fontId="0" fillId="0" borderId="0" xfId="0" applyAlignment="1">
      <x:alignment horizontal="center" vertical="top"/>
    </x:xf>
    <x:xf numFmtId="0" fontId="0" fillId="0" borderId="0" xfId="0" applyAlignment="1">
      <x:alignment horizontal="center" vertical="top" wrapText="1"/>
    </x:xf>
    <x:xf numFmtId="0" fontId="0" fillId="0" borderId="0" xfId="0" applyAlignment="1">
      <x:alignment vertical="top"/>
    </x:xf>
    <x:xf numFmtId="0" fontId="2" fillId="4" borderId="1" xfId="0" applyFont="1" applyFill="1" applyBorder="1" applyAlignment="1">
      <x:alignment horizontal="center" vertical="center"/>
    </x:xf>
    <x:xf numFmtId="0" fontId="13" fillId="0" borderId="4" xfId="0" applyFont="1" applyBorder="1"/>
    <x:xf numFmtId="0" fontId="7" fillId="0" borderId="0" xfId="0" applyFont="1"/>
    <x:xf numFmtId="0" fontId="13" fillId="0" borderId="1" xfId="0" applyFont="1" applyBorder="1" applyAlignment="1">
      <x:alignment horizontal="left" vertical="center"/>
    </x:xf>
    <x:xf numFmtId="0" fontId="2" fillId="2" borderId="1" xfId="0" applyFont="1" applyFill="1" applyBorder="1" applyAlignment="1">
      <x:alignment horizontal="center" vertical="center"/>
    </x:xf>
    <x:xf numFmtId="0" fontId="15" fillId="4" borderId="1" xfId="0" applyFont="1" applyFill="1" applyBorder="1" applyAlignment="1">
      <x:alignment horizontal="left" vertical="center"/>
    </x:xf>
    <x:xf numFmtId="0" fontId="0" fillId="0" borderId="1" xfId="0" applyBorder="1" applyAlignment="1">
      <x:alignment horizontal="center" vertical="center"/>
    </x:xf>
    <x:xf numFmtId="0" fontId="12" fillId="0" borderId="1" xfId="0" applyFont="1" applyBorder="1" applyAlignment="1">
      <x:alignment horizontal="left" vertical="center"/>
    </x:xf>
    <x:xf numFmtId="0" fontId="14" fillId="0" borderId="0" xfId="0" applyFont="1"/>
    <x:xf numFmtId="0" fontId="18" fillId="6" borderId="10" xfId="0" applyFont="1" applyFill="1" applyBorder="1" applyAlignment="1">
      <x:alignment vertical="top" wrapText="1"/>
    </x:xf>
    <x:xf numFmtId="0" fontId="0" fillId="0" borderId="10" xfId="0" applyBorder="1" applyAlignment="1">
      <x:alignment vertical="top" wrapText="1"/>
    </x:xf>
    <x:xf numFmtId="167" fontId="0" fillId="0" borderId="10" xfId="0" applyNumberFormat="1" applyBorder="1" applyAlignment="1">
      <x:alignment vertical="top" wrapText="1"/>
    </x:xf>
    <x:xf numFmtId="0" fontId="19" fillId="2" borderId="1" xfId="0" applyFont="1" applyFill="1" applyBorder="1" applyAlignment="1">
      <x:alignment horizontal="left" vertical="center" wrapText="1"/>
    </x:xf>
    <x:xf numFmtId="164" fontId="19" fillId="4" borderId="1" xfId="0" applyNumberFormat="1" applyFont="1" applyFill="1" applyBorder="1" applyAlignment="1">
      <x:alignment horizontal="left" vertical="center" wrapText="1"/>
    </x:xf>
    <x:xf numFmtId="0" fontId="19" fillId="4" borderId="1" xfId="0" applyFont="1" applyFill="1" applyBorder="1" applyAlignment="1">
      <x:alignment horizontal="left" vertical="center" wrapText="1"/>
    </x:xf>
    <x:xf numFmtId="0" fontId="2" fillId="4" borderId="1" xfId="0" applyFont="1" applyFill="1" applyBorder="1" applyAlignment="1">
      <x:alignment horizontal="left" vertical="center" wrapText="1"/>
    </x:xf>
    <x:xf numFmtId="164" fontId="0" fillId="0" borderId="1" xfId="0" applyNumberFormat="1" applyBorder="1" applyAlignment="1">
      <x:alignment horizontal="left" vertical="center" wrapText="1"/>
    </x:xf>
    <x:xf numFmtId="0" fontId="0" fillId="0" borderId="1" xfId="0" applyBorder="1" applyAlignment="1">
      <x:alignment horizontal="left" vertical="center" wrapText="1"/>
    </x:xf>
    <x:xf numFmtId="0" fontId="17" fillId="0" borderId="1" xfId="0" applyFont="1" applyBorder="1" applyAlignment="1">
      <x:alignment horizontal="left" vertical="center"/>
    </x:xf>
    <x:xf numFmtId="0" fontId="13" fillId="0" borderId="1" xfId="0" applyFont="1" applyBorder="1" applyAlignment="1">
      <x:alignment horizontal="left" vertical="center"/>
    </x:xf>
    <x:xf numFmtId="0" fontId="17" fillId="0" borderId="1" xfId="0" applyFont="1" applyBorder="1" applyAlignment="1">
      <x:alignment horizontal="left" vertical="center"/>
    </x:xf>
    <x:xf numFmtId="0" fontId="12" fillId="0" borderId="1" xfId="0" applyFont="1" applyBorder="1" applyAlignment="1">
      <x:alignment horizontal="left" vertical="center"/>
    </x:xf>
    <x:xf numFmtId="0" fontId="0" fillId="0" borderId="2" xfId="0" applyBorder="1"/>
    <x:xf numFmtId="0" fontId="0" fillId="0" borderId="3" xfId="0" applyBorder="1"/>
    <x:xf numFmtId="0" fontId="12" fillId="0" borderId="1" xfId="0" applyFont="1" applyBorder="1" applyAlignment="1">
      <x:alignment horizontal="left" vertical="center" wrapText="1"/>
    </x:xf>
    <x:xf numFmtId="0" fontId="2" fillId="2" borderId="1" xfId="0" applyFont="1" applyFill="1" applyBorder="1" applyAlignment="1">
      <x:alignment horizontal="left"/>
    </x:xf>
    <x:xf numFmtId="0" fontId="2" fillId="2" borderId="1" xfId="0" applyFont="1" applyFill="1" applyBorder="1" applyAlignment="1">
      <x:alignment horizontal="left" vertical="center"/>
    </x:xf>
    <x:xf numFmtId="0" fontId="0" fillId="0" borderId="4" xfId="0" applyBorder="1"/>
    <x:xf numFmtId="0" fontId="0" fillId="0" borderId="1" xfId="0" applyBorder="1"/>
    <x:xf numFmtId="0" fontId="0" fillId="0" borderId="0" xfId="0"/>
    <x:xf numFmtId="0" fontId="15" fillId="4" borderId="1" xfId="0" applyFont="1" applyFill="1" applyBorder="1" applyAlignment="1">
      <x:alignment horizontal="left" vertical="center"/>
    </x:xf>
    <x:xf numFmtId="0" fontId="4" fillId="0" borderId="4" xfId="0" applyFont="1" applyBorder="1" applyAlignment="1">
      <x:alignment horizontal="right" vertical="center"/>
    </x:xf>
    <x:xf numFmtId="0" fontId="16" fillId="0" borderId="1" xfId="0" applyFont="1" applyBorder="1" applyAlignment="1">
      <x:alignment horizontal="left" vertical="top"/>
    </x:xf>
    <x:xf numFmtId="0" fontId="16" fillId="0" borderId="1" xfId="0" applyFont="1" applyBorder="1" applyAlignment="1">
      <x:alignment vertical="top"/>
    </x:xf>
    <x:xf numFmtId="0" fontId="14" fillId="0" borderId="1" xfId="0" applyFont="1" applyBorder="1" applyAlignment="1">
      <x:alignment horizontal="left" vertical="top"/>
    </x:xf>
    <x:xf numFmtId="0" fontId="2" fillId="2" borderId="1" xfId="0" applyFont="1" applyFill="1" applyBorder="1" applyAlignment="1">
      <x:alignment vertical="top"/>
    </x:xf>
    <x:xf numFmtId="0" fontId="4" fillId="0" borderId="0" xfId="0" applyFont="1"/>
    <x:xf numFmtId="0" fontId="14" fillId="0" borderId="1" xfId="0" applyFont="1" applyBorder="1" applyAlignment="1">
      <x:alignment vertical="top"/>
    </x:xf>
    <x:xf numFmtId="0" fontId="14" fillId="0" borderId="1" xfId="0" applyFont="1" applyBorder="1" applyAlignment="1">
      <x:alignment vertical="top" wrapText="1"/>
    </x:xf>
    <x:xf numFmtId="0" fontId="8" fillId="0" borderId="1" xfId="0" applyFont="1" applyBorder="1" applyAlignment="1">
      <x:alignment vertical="center" wrapText="1"/>
    </x:xf>
    <x:xf numFmtId="0" fontId="6" fillId="2" borderId="0" xfId="0" applyFont="1" applyFill="1" applyAlignment="1">
      <x:alignment horizontal="left"/>
    </x:xf>
    <x:xf numFmtId="0" fontId="5" fillId="0" borderId="0" xfId="0" applyFont="1"/>
    <x:xf numFmtId="0" fontId="0" fillId="0" borderId="0" xfId="0" applyAlignment="1">
      <x:alignment horizontal="left" vertical="top" wrapText="1"/>
    </x:xf>
    <x:xf numFmtId="0" fontId="4" fillId="0" borderId="0" xfId="0" applyFont="1" applyAlignment="1">
      <x:alignment horizontal="left" vertical="top"/>
    </x:xf>
    <x:xf numFmtId="0" fontId="2" fillId="2" borderId="0" xfId="0" applyFont="1" applyFill="1"/>
    <x:xf numFmtId="0" fontId="3" fillId="0" borderId="0" xfId="0" applyFont="1"/>
    <x:xf numFmtId="0" fontId="19" fillId="4" borderId="1" xfId="0" applyFont="1" applyFill="1" applyBorder="1" applyAlignment="1">
      <x:alignment horizontal="left" vertical="center" wrapText="1"/>
    </x:xf>
    <x:xf numFmtId="0" fontId="0" fillId="0" borderId="1" xfId="0" applyBorder="1" applyAlignment="1">
      <x:alignment horizontal="left" vertical="center" wrapText="1"/>
    </x:xf>
    <x:xf numFmtId="0" fontId="0" fillId="0" borderId="1" xfId="0" applyBorder="1" applyAlignment="1">
      <x:alignment horizontal="left"/>
    </x:xf>
    <x:xf numFmtId="0" fontId="20" fillId="0" borderId="4" xfId="0" applyFont="1" applyBorder="1" applyAlignment="1">
      <x:alignment horizontal="left" vertical="center"/>
    </x:xf>
    <x:xf numFmtId="0" fontId="20" fillId="0" borderId="0" xfId="0" applyFont="1" applyAlignment="1">
      <x:alignment horizontal="left" vertical="center"/>
    </x:xf>
    <x:xf numFmtId="0" fontId="21" fillId="0" borderId="0" xfId="0" applyFont="1" applyAlignment="1">
      <x:alignment horizontal="left" vertical="center"/>
    </x:xf>
    <x:xf numFmtId="0" fontId="17" fillId="0" borderId="4" xfId="0" applyFont="1" applyBorder="1" applyAlignment="1">
      <x:alignment horizontal="left" vertical="center"/>
    </x:xf>
    <x:xf numFmtId="0" fontId="20" fillId="0" borderId="0" xfId="0" applyFont="1"/>
    <x:xf numFmtId="0" fontId="17" fillId="0" borderId="0" xfId="0" applyFont="1"/>
    <x:xf numFmtId="0" fontId="17" fillId="0" borderId="0" xfId="0" applyFont="1" applyAlignment="1">
      <x:alignment horizontal="left" vertical="center"/>
    </x:xf>
    <x:xf numFmtId="0" fontId="0" fillId="0" borderId="0" xfId="0" applyAlignment="1">
      <x:alignment vertical="center"/>
    </x:xf>
    <x:xf numFmtId="0" fontId="20" fillId="0" borderId="0" xfId="0" applyFont="1" applyAlignment="1">
      <x:alignment vertical="center"/>
    </x:xf>
    <x:xf numFmtId="0" fontId="17" fillId="0" borderId="0" xfId="0" applyFont="1" applyAlignment="1">
      <x:alignment vertical="center"/>
    </x:xf>
    <x:xf numFmtId="0" fontId="9" fillId="0" borderId="0" xfId="0" applyFont="1" applyAlignment="1">
      <x:alignment horizontal="left" vertical="center"/>
    </x:xf>
    <x:xf numFmtId="0" fontId="2" fillId="2" borderId="1" xfId="0" applyFont="1" applyFill="1" applyBorder="1" applyAlignment="1">
      <x:alignment vertical="center"/>
    </x:xf>
    <x:xf numFmtId="0" fontId="0" fillId="0" borderId="1" xfId="0" applyBorder="1" applyAlignment="1">
      <x:alignment vertical="center"/>
    </x:xf>
    <x:xf numFmtId="0" fontId="10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15" fillId="4" borderId="1" xfId="0" applyFont="1" applyFill="1" applyBorder="1" applyAlignment="1">
      <x:alignment vertical="center"/>
    </x:xf>
    <x:xf numFmtId="0" fontId="15" fillId="4" borderId="1" xfId="0" applyFont="1" applyFill="1" applyBorder="1" applyAlignment="1">
      <x:alignment vertical="center"/>
    </x:xf>
    <x:xf numFmtId="0" fontId="14" fillId="0" borderId="1" xfId="0" applyFont="1" applyBorder="1" applyAlignment="1">
      <x:alignment horizontal="left" vertical="center"/>
    </x:xf>
    <x:xf numFmtId="0" fontId="14" fillId="0" borderId="1" xfId="0" applyFont="1" applyBorder="1" applyAlignment="1">
      <x:alignment horizontal="left" vertical="center"/>
    </x:xf>
    <x:xf numFmtId="0" fontId="0" fillId="0" borderId="2" xfId="0" applyBorder="1" applyAlignment="1">
      <x:alignment vertical="center"/>
    </x:xf>
    <x:xf numFmtId="0" fontId="0" fillId="0" borderId="3" xfId="0" applyBorder="1" applyAlignment="1">
      <x:alignment vertical="center"/>
    </x:xf>
    <x:xf numFmtId="0" fontId="11" fillId="0" borderId="0" xfId="0" applyFont="1" applyAlignment="1">
      <x:alignment horizontal="left" vertical="center"/>
    </x:xf>
    <x:xf numFmtId="0" fontId="20" fillId="0" borderId="4" xfId="0" applyFont="1" applyBorder="1"/>
    <x:xf numFmtId="0" fontId="0" fillId="0" borderId="5" xfId="0" applyBorder="1" applyAlignment="1">
      <x:alignment vertical="center"/>
    </x:xf>
    <x:xf numFmtId="0" fontId="0" fillId="0" borderId="4" xfId="0" applyBorder="1" applyAlignment="1">
      <x:alignment vertical="center"/>
    </x:xf>
    <x:xf numFmtId="0" fontId="0" fillId="0" borderId="6" xfId="0" applyBorder="1" applyAlignment="1">
      <x:alignment vertical="center"/>
    </x:xf>
    <x:xf numFmtId="0" fontId="0" fillId="0" borderId="8" xfId="0" applyBorder="1" applyAlignment="1">
      <x:alignment vertical="center"/>
    </x:xf>
    <x:xf numFmtId="0" fontId="0" fillId="0" borderId="9" xfId="0" applyBorder="1" applyAlignment="1">
      <x:alignment horizontal="left" vertical="center"/>
    </x:xf>
    <x:xf numFmtId="0" fontId="0" fillId="0" borderId="7" xfId="0" applyBorder="1" applyAlignment="1">
      <x:alignment vertical="center"/>
    </x:xf>
    <x:xf numFmtId="0" fontId="2" fillId="5" borderId="0" xfId="0" applyFont="1" applyFill="1" applyAlignment="1">
      <x:alignment vertical="center"/>
    </x:xf>
    <x:xf numFmtId="0" fontId="0" fillId="0" borderId="0" xfId="0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6ca1186bd14c98" /><Relationship Type="http://schemas.openxmlformats.org/officeDocument/2006/relationships/theme" Target="/xl/theme/theme1.xml" Id="R31b6f048d8e34df1" /><Relationship Type="http://schemas.openxmlformats.org/officeDocument/2006/relationships/sharedStrings" Target="/xl/sharedStrings.xml" Id="R12ac4fee0c75437d" /><Relationship Type="http://schemas.openxmlformats.org/officeDocument/2006/relationships/worksheet" Target="/xl/worksheets/sheet1.xml" Id="R85e8da874a0844a7" /><Relationship Type="http://schemas.openxmlformats.org/officeDocument/2006/relationships/worksheet" Target="/xl/worksheets/sheet2.xml" Id="Rec89866ea5f74c71" /><Relationship Type="http://schemas.openxmlformats.org/officeDocument/2006/relationships/worksheet" Target="/xl/worksheets/sheet3.xml" Id="R4eae195eae6b4b32" /><Relationship Type="http://schemas.openxmlformats.org/officeDocument/2006/relationships/worksheet" Target="/xl/worksheets/sheet4.xml" Id="Ra6888b88a8ef46e5" /><Relationship Type="http://schemas.openxmlformats.org/officeDocument/2006/relationships/worksheet" Target="/xl/worksheets/sheet5.xml" Id="Rd6af5199e77848e0" /><Relationship Type="http://schemas.openxmlformats.org/officeDocument/2006/relationships/worksheet" Target="/xl/worksheets/sheet6.xml" Id="R466d3dd8d24a483e" /><Relationship Type="http://schemas.openxmlformats.org/officeDocument/2006/relationships/worksheet" Target="/xl/worksheets/sheet7.xml" Id="R5053dd366cad4fe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39b1a884bb742b0" /><Relationship Type="http://schemas.openxmlformats.org/officeDocument/2006/relationships/chart" Target="/xl/drawings/charts/chart2.xml" Id="R2c4f70629ccd433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1ae987d005d54f06" /><Relationship Type="http://schemas.openxmlformats.org/officeDocument/2006/relationships/chart" Target="/xl/drawings/charts/chart4.xml" Id="Rba9d8a2f0f064b50" /><Relationship Type="http://schemas.openxmlformats.org/officeDocument/2006/relationships/chart" Target="/xl/drawings/charts/chart5.xml" Id="R4df7d478248e48c9" /><Relationship Type="http://schemas.openxmlformats.org/officeDocument/2006/relationships/chart" Target="/xl/drawings/charts/chart6.xml" Id="Rdcb9c9aa6d5341a2" /><Relationship Type="http://schemas.openxmlformats.org/officeDocument/2006/relationships/chart" Target="/xl/drawings/charts/chart7.xml" Id="R0764892be04d4b5e" /><Relationship Type="http://schemas.openxmlformats.org/officeDocument/2006/relationships/chart" Target="/xl/drawings/charts/chart8.xml" Id="R075050494443438c" /></Relationships>
</file>

<file path=xl/drawings/charts/chart1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1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Risk Appetite Score (Last 2Y)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400" b="1" i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Risk Appetite Score</c:v>
          </c:tx>
          <c:spPr>
            <a:ln xmlns:a="http://schemas.openxmlformats.org/drawingml/2006/main" w="25400">
              <a:solidFill>
                <a:srgbClr val="002060"/>
              </a:solidFill>
              <a:prstDash val="solid"/>
            </a:ln>
          </c:spPr>
          <c:marker>
            <c:symbol val="none"/>
          </c:marker>
          <c:cat>
            <c:numRef>
              <c:f>_DASH_DATA!$D$2:$D$105</c:f>
              <c:numCache>
                <c:formatCode>m/d/yyyy</c:formatCode>
                <c:ptCount val="104"/>
                <c:pt idx="0">
                  <c:v>45450</c:v>
                </c:pt>
                <c:pt idx="1">
                  <c:v>45457</c:v>
                </c:pt>
                <c:pt idx="2">
                  <c:v>45464</c:v>
                </c:pt>
                <c:pt idx="3">
                  <c:v>45471</c:v>
                </c:pt>
                <c:pt idx="4">
                  <c:v>45478</c:v>
                </c:pt>
                <c:pt idx="5">
                  <c:v>45485</c:v>
                </c:pt>
                <c:pt idx="6">
                  <c:v>45492</c:v>
                </c:pt>
                <c:pt idx="7">
                  <c:v>45499</c:v>
                </c:pt>
                <c:pt idx="8">
                  <c:v>45506</c:v>
                </c:pt>
                <c:pt idx="9">
                  <c:v>45513</c:v>
                </c:pt>
                <c:pt idx="10">
                  <c:v>45520</c:v>
                </c:pt>
                <c:pt idx="11">
                  <c:v>45527</c:v>
                </c:pt>
                <c:pt idx="12">
                  <c:v>45534</c:v>
                </c:pt>
                <c:pt idx="13">
                  <c:v>45541</c:v>
                </c:pt>
                <c:pt idx="14">
                  <c:v>45548</c:v>
                </c:pt>
                <c:pt idx="15">
                  <c:v>45555</c:v>
                </c:pt>
                <c:pt idx="16">
                  <c:v>45562</c:v>
                </c:pt>
                <c:pt idx="17">
                  <c:v>45569</c:v>
                </c:pt>
                <c:pt idx="18">
                  <c:v>45576</c:v>
                </c:pt>
                <c:pt idx="19">
                  <c:v>45583</c:v>
                </c:pt>
                <c:pt idx="20">
                  <c:v>45590</c:v>
                </c:pt>
                <c:pt idx="21">
                  <c:v>45597</c:v>
                </c:pt>
                <c:pt idx="22">
                  <c:v>45604</c:v>
                </c:pt>
                <c:pt idx="23">
                  <c:v>45611</c:v>
                </c:pt>
                <c:pt idx="24">
                  <c:v>45618</c:v>
                </c:pt>
                <c:pt idx="25">
                  <c:v>45625</c:v>
                </c:pt>
                <c:pt idx="26">
                  <c:v>45632</c:v>
                </c:pt>
                <c:pt idx="27">
                  <c:v>45639</c:v>
                </c:pt>
                <c:pt idx="28">
                  <c:v>45646</c:v>
                </c:pt>
                <c:pt idx="29">
                  <c:v>45653</c:v>
                </c:pt>
                <c:pt idx="30">
                  <c:v>45660</c:v>
                </c:pt>
                <c:pt idx="31">
                  <c:v>45667</c:v>
                </c:pt>
                <c:pt idx="32">
                  <c:v>45674</c:v>
                </c:pt>
                <c:pt idx="33">
                  <c:v>45681</c:v>
                </c:pt>
                <c:pt idx="34">
                  <c:v>45688</c:v>
                </c:pt>
                <c:pt idx="35">
                  <c:v>45695</c:v>
                </c:pt>
                <c:pt idx="36">
                  <c:v>45702</c:v>
                </c:pt>
                <c:pt idx="37">
                  <c:v>45709</c:v>
                </c:pt>
                <c:pt idx="38">
                  <c:v>45716</c:v>
                </c:pt>
                <c:pt idx="39">
                  <c:v>45723</c:v>
                </c:pt>
                <c:pt idx="40">
                  <c:v>45730</c:v>
                </c:pt>
                <c:pt idx="41">
                  <c:v>45737</c:v>
                </c:pt>
                <c:pt idx="42">
                  <c:v>45744</c:v>
                </c:pt>
                <c:pt idx="43">
                  <c:v>45751</c:v>
                </c:pt>
                <c:pt idx="44">
                  <c:v>45758</c:v>
                </c:pt>
                <c:pt idx="45">
                  <c:v>45765</c:v>
                </c:pt>
                <c:pt idx="46">
                  <c:v>45772</c:v>
                </c:pt>
                <c:pt idx="47">
                  <c:v>45779</c:v>
                </c:pt>
                <c:pt idx="48">
                  <c:v>45786</c:v>
                </c:pt>
                <c:pt idx="49">
                  <c:v>45793</c:v>
                </c:pt>
                <c:pt idx="50">
                  <c:v>45800</c:v>
                </c:pt>
                <c:pt idx="51">
                  <c:v>45807</c:v>
                </c:pt>
                <c:pt idx="52">
                  <c:v>45814</c:v>
                </c:pt>
                <c:pt idx="53">
                  <c:v>45821</c:v>
                </c:pt>
                <c:pt idx="54">
                  <c:v>45828</c:v>
                </c:pt>
                <c:pt idx="55">
                  <c:v>45835</c:v>
                </c:pt>
                <c:pt idx="56">
                  <c:v>45842</c:v>
                </c:pt>
                <c:pt idx="57">
                  <c:v>45849</c:v>
                </c:pt>
                <c:pt idx="58">
                  <c:v>45856</c:v>
                </c:pt>
                <c:pt idx="59">
                  <c:v>45863</c:v>
                </c:pt>
                <c:pt idx="60">
                  <c:v>45870</c:v>
                </c:pt>
                <c:pt idx="61">
                  <c:v>45877</c:v>
                </c:pt>
                <c:pt idx="62">
                  <c:v>45884</c:v>
                </c:pt>
                <c:pt idx="63">
                  <c:v>45891</c:v>
                </c:pt>
                <c:pt idx="64">
                  <c:v>45898</c:v>
                </c:pt>
                <c:pt idx="65">
                  <c:v>45905</c:v>
                </c:pt>
                <c:pt idx="66">
                  <c:v>45912</c:v>
                </c:pt>
                <c:pt idx="67">
                  <c:v>45919</c:v>
                </c:pt>
                <c:pt idx="68">
                  <c:v>45926</c:v>
                </c:pt>
                <c:pt idx="69">
                  <c:v>45933</c:v>
                </c:pt>
                <c:pt idx="70">
                  <c:v>45940</c:v>
                </c:pt>
                <c:pt idx="71">
                  <c:v>45947</c:v>
                </c:pt>
                <c:pt idx="72">
                  <c:v>45954</c:v>
                </c:pt>
                <c:pt idx="73">
                  <c:v>45961</c:v>
                </c:pt>
                <c:pt idx="74">
                  <c:v>45968</c:v>
                </c:pt>
                <c:pt idx="75">
                  <c:v>45975</c:v>
                </c:pt>
                <c:pt idx="76">
                  <c:v>45982</c:v>
                </c:pt>
                <c:pt idx="77">
                  <c:v>45989</c:v>
                </c:pt>
                <c:pt idx="78">
                  <c:v>45996</c:v>
                </c:pt>
                <c:pt idx="79">
                  <c:v>46003</c:v>
                </c:pt>
                <c:pt idx="80">
                  <c:v>46010</c:v>
                </c:pt>
                <c:pt idx="81">
                  <c:v>46017</c:v>
                </c:pt>
                <c:pt idx="82">
                  <c:v>46024</c:v>
                </c:pt>
                <c:pt idx="83">
                  <c:v>46031</c:v>
                </c:pt>
                <c:pt idx="84">
                  <c:v>46038</c:v>
                </c:pt>
                <c:pt idx="85">
                  <c:v>46045</c:v>
                </c:pt>
                <c:pt idx="86">
                  <c:v>46052</c:v>
                </c:pt>
                <c:pt idx="87">
                  <c:v>46059</c:v>
                </c:pt>
                <c:pt idx="88">
                  <c:v>46066</c:v>
                </c:pt>
                <c:pt idx="89">
                  <c:v>46073</c:v>
                </c:pt>
                <c:pt idx="90">
                  <c:v>46080</c:v>
                </c:pt>
                <c:pt idx="91">
                  <c:v>46087</c:v>
                </c:pt>
                <c:pt idx="92">
                  <c:v>46094</c:v>
                </c:pt>
                <c:pt idx="93">
                  <c:v>46101</c:v>
                </c:pt>
                <c:pt idx="94">
                  <c:v>46108</c:v>
                </c:pt>
                <c:pt idx="95">
                  <c:v>46115</c:v>
                </c:pt>
                <c:pt idx="96">
                  <c:v>46122</c:v>
                </c:pt>
                <c:pt idx="97">
                  <c:v>46129</c:v>
                </c:pt>
                <c:pt idx="98">
                  <c:v>46136</c:v>
                </c:pt>
                <c:pt idx="99">
                  <c:v>46143</c:v>
                </c:pt>
                <c:pt idx="100">
                  <c:v>46150</c:v>
                </c:pt>
                <c:pt idx="101">
                  <c:v>46157</c:v>
                </c:pt>
                <c:pt idx="102">
                  <c:v>46164</c:v>
                </c:pt>
                <c:pt idx="103">
                  <c:v>46171</c:v>
                </c:pt>
              </c:numCache>
            </c:numRef>
          </c:cat>
          <c:val>
            <c:numRef>
              <c:f>_DASH_DATA!$E$2:$E$105</c:f>
              <c:numCache>
                <c:formatCode>General</c:formatCode>
                <c:ptCount val="10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2</c:v>
                </c:pt>
                <c:pt idx="38">
                  <c:v>3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3</c:v>
                </c:pt>
                <c:pt idx="45">
                  <c:v>3</c:v>
                </c:pt>
                <c:pt idx="46">
                  <c:v>2</c:v>
                </c:pt>
                <c:pt idx="47">
                  <c:v>3</c:v>
                </c:pt>
                <c:pt idx="48">
                  <c:v>2</c:v>
                </c:pt>
                <c:pt idx="49">
                  <c:v>0</c:v>
                </c:pt>
                <c:pt idx="50">
                  <c:v>2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2</c:v>
                </c:pt>
                <c:pt idx="64">
                  <c:v>0</c:v>
                </c:pt>
                <c:pt idx="65">
                  <c:v>1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2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2</c:v>
                </c:pt>
                <c:pt idx="77">
                  <c:v>1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2</c:v>
                </c:pt>
                <c:pt idx="92">
                  <c:v>2</c:v>
                </c:pt>
                <c:pt idx="93">
                  <c:v>3</c:v>
                </c:pt>
                <c:pt idx="94">
                  <c:v>3</c:v>
                </c:pt>
                <c:pt idx="95">
                  <c:v>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Risk-On / Neutral Boundary</c:v>
          </c:tx>
          <c:spPr>
            <a:ln xmlns:a="http://schemas.openxmlformats.org/drawingml/2006/main" w="15875">
              <a:solidFill>
                <a:schemeClr val="bg2">
                  <a:lumMod val="5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_DASH_DATA!$D$2:$D$105</c:f>
              <c:numCache>
                <c:formatCode>m/d/yyyy</c:formatCode>
                <c:ptCount val="104"/>
                <c:pt idx="0">
                  <c:v>45450</c:v>
                </c:pt>
                <c:pt idx="1">
                  <c:v>45457</c:v>
                </c:pt>
                <c:pt idx="2">
                  <c:v>45464</c:v>
                </c:pt>
                <c:pt idx="3">
                  <c:v>45471</c:v>
                </c:pt>
                <c:pt idx="4">
                  <c:v>45478</c:v>
                </c:pt>
                <c:pt idx="5">
                  <c:v>45485</c:v>
                </c:pt>
                <c:pt idx="6">
                  <c:v>45492</c:v>
                </c:pt>
                <c:pt idx="7">
                  <c:v>45499</c:v>
                </c:pt>
                <c:pt idx="8">
                  <c:v>45506</c:v>
                </c:pt>
                <c:pt idx="9">
                  <c:v>45513</c:v>
                </c:pt>
                <c:pt idx="10">
                  <c:v>45520</c:v>
                </c:pt>
                <c:pt idx="11">
                  <c:v>45527</c:v>
                </c:pt>
                <c:pt idx="12">
                  <c:v>45534</c:v>
                </c:pt>
                <c:pt idx="13">
                  <c:v>45541</c:v>
                </c:pt>
                <c:pt idx="14">
                  <c:v>45548</c:v>
                </c:pt>
                <c:pt idx="15">
                  <c:v>45555</c:v>
                </c:pt>
                <c:pt idx="16">
                  <c:v>45562</c:v>
                </c:pt>
                <c:pt idx="17">
                  <c:v>45569</c:v>
                </c:pt>
                <c:pt idx="18">
                  <c:v>45576</c:v>
                </c:pt>
                <c:pt idx="19">
                  <c:v>45583</c:v>
                </c:pt>
                <c:pt idx="20">
                  <c:v>45590</c:v>
                </c:pt>
                <c:pt idx="21">
                  <c:v>45597</c:v>
                </c:pt>
                <c:pt idx="22">
                  <c:v>45604</c:v>
                </c:pt>
                <c:pt idx="23">
                  <c:v>45611</c:v>
                </c:pt>
                <c:pt idx="24">
                  <c:v>45618</c:v>
                </c:pt>
                <c:pt idx="25">
                  <c:v>45625</c:v>
                </c:pt>
                <c:pt idx="26">
                  <c:v>45632</c:v>
                </c:pt>
                <c:pt idx="27">
                  <c:v>45639</c:v>
                </c:pt>
                <c:pt idx="28">
                  <c:v>45646</c:v>
                </c:pt>
                <c:pt idx="29">
                  <c:v>45653</c:v>
                </c:pt>
                <c:pt idx="30">
                  <c:v>45660</c:v>
                </c:pt>
                <c:pt idx="31">
                  <c:v>45667</c:v>
                </c:pt>
                <c:pt idx="32">
                  <c:v>45674</c:v>
                </c:pt>
                <c:pt idx="33">
                  <c:v>45681</c:v>
                </c:pt>
                <c:pt idx="34">
                  <c:v>45688</c:v>
                </c:pt>
                <c:pt idx="35">
                  <c:v>45695</c:v>
                </c:pt>
                <c:pt idx="36">
                  <c:v>45702</c:v>
                </c:pt>
                <c:pt idx="37">
                  <c:v>45709</c:v>
                </c:pt>
                <c:pt idx="38">
                  <c:v>45716</c:v>
                </c:pt>
                <c:pt idx="39">
                  <c:v>45723</c:v>
                </c:pt>
                <c:pt idx="40">
                  <c:v>45730</c:v>
                </c:pt>
                <c:pt idx="41">
                  <c:v>45737</c:v>
                </c:pt>
                <c:pt idx="42">
                  <c:v>45744</c:v>
                </c:pt>
                <c:pt idx="43">
                  <c:v>45751</c:v>
                </c:pt>
                <c:pt idx="44">
                  <c:v>45758</c:v>
                </c:pt>
                <c:pt idx="45">
                  <c:v>45765</c:v>
                </c:pt>
                <c:pt idx="46">
                  <c:v>45772</c:v>
                </c:pt>
                <c:pt idx="47">
                  <c:v>45779</c:v>
                </c:pt>
                <c:pt idx="48">
                  <c:v>45786</c:v>
                </c:pt>
                <c:pt idx="49">
                  <c:v>45793</c:v>
                </c:pt>
                <c:pt idx="50">
                  <c:v>45800</c:v>
                </c:pt>
                <c:pt idx="51">
                  <c:v>45807</c:v>
                </c:pt>
                <c:pt idx="52">
                  <c:v>45814</c:v>
                </c:pt>
                <c:pt idx="53">
                  <c:v>45821</c:v>
                </c:pt>
                <c:pt idx="54">
                  <c:v>45828</c:v>
                </c:pt>
                <c:pt idx="55">
                  <c:v>45835</c:v>
                </c:pt>
                <c:pt idx="56">
                  <c:v>45842</c:v>
                </c:pt>
                <c:pt idx="57">
                  <c:v>45849</c:v>
                </c:pt>
                <c:pt idx="58">
                  <c:v>45856</c:v>
                </c:pt>
                <c:pt idx="59">
                  <c:v>45863</c:v>
                </c:pt>
                <c:pt idx="60">
                  <c:v>45870</c:v>
                </c:pt>
                <c:pt idx="61">
                  <c:v>45877</c:v>
                </c:pt>
                <c:pt idx="62">
                  <c:v>45884</c:v>
                </c:pt>
                <c:pt idx="63">
                  <c:v>45891</c:v>
                </c:pt>
                <c:pt idx="64">
                  <c:v>45898</c:v>
                </c:pt>
                <c:pt idx="65">
                  <c:v>45905</c:v>
                </c:pt>
                <c:pt idx="66">
                  <c:v>45912</c:v>
                </c:pt>
                <c:pt idx="67">
                  <c:v>45919</c:v>
                </c:pt>
                <c:pt idx="68">
                  <c:v>45926</c:v>
                </c:pt>
                <c:pt idx="69">
                  <c:v>45933</c:v>
                </c:pt>
                <c:pt idx="70">
                  <c:v>45940</c:v>
                </c:pt>
                <c:pt idx="71">
                  <c:v>45947</c:v>
                </c:pt>
                <c:pt idx="72">
                  <c:v>45954</c:v>
                </c:pt>
                <c:pt idx="73">
                  <c:v>45961</c:v>
                </c:pt>
                <c:pt idx="74">
                  <c:v>45968</c:v>
                </c:pt>
                <c:pt idx="75">
                  <c:v>45975</c:v>
                </c:pt>
                <c:pt idx="76">
                  <c:v>45982</c:v>
                </c:pt>
                <c:pt idx="77">
                  <c:v>45989</c:v>
                </c:pt>
                <c:pt idx="78">
                  <c:v>45996</c:v>
                </c:pt>
                <c:pt idx="79">
                  <c:v>46003</c:v>
                </c:pt>
                <c:pt idx="80">
                  <c:v>46010</c:v>
                </c:pt>
                <c:pt idx="81">
                  <c:v>46017</c:v>
                </c:pt>
                <c:pt idx="82">
                  <c:v>46024</c:v>
                </c:pt>
                <c:pt idx="83">
                  <c:v>46031</c:v>
                </c:pt>
                <c:pt idx="84">
                  <c:v>46038</c:v>
                </c:pt>
                <c:pt idx="85">
                  <c:v>46045</c:v>
                </c:pt>
                <c:pt idx="86">
                  <c:v>46052</c:v>
                </c:pt>
                <c:pt idx="87">
                  <c:v>46059</c:v>
                </c:pt>
                <c:pt idx="88">
                  <c:v>46066</c:v>
                </c:pt>
                <c:pt idx="89">
                  <c:v>46073</c:v>
                </c:pt>
                <c:pt idx="90">
                  <c:v>46080</c:v>
                </c:pt>
                <c:pt idx="91">
                  <c:v>46087</c:v>
                </c:pt>
                <c:pt idx="92">
                  <c:v>46094</c:v>
                </c:pt>
                <c:pt idx="93">
                  <c:v>46101</c:v>
                </c:pt>
                <c:pt idx="94">
                  <c:v>46108</c:v>
                </c:pt>
                <c:pt idx="95">
                  <c:v>46115</c:v>
                </c:pt>
                <c:pt idx="96">
                  <c:v>46122</c:v>
                </c:pt>
                <c:pt idx="97">
                  <c:v>46129</c:v>
                </c:pt>
                <c:pt idx="98">
                  <c:v>46136</c:v>
                </c:pt>
                <c:pt idx="99">
                  <c:v>46143</c:v>
                </c:pt>
                <c:pt idx="100">
                  <c:v>46150</c:v>
                </c:pt>
                <c:pt idx="101">
                  <c:v>46157</c:v>
                </c:pt>
                <c:pt idx="102">
                  <c:v>46164</c:v>
                </c:pt>
                <c:pt idx="103">
                  <c:v>46171</c:v>
                </c:pt>
              </c:numCache>
            </c:numRef>
          </c:cat>
          <c:val>
            <c:numRef>
              <c:f>_DASH_DATA!$F$2:$F$105</c:f>
              <c:numCache>
                <c:formatCode>General</c:formatCode>
                <c:ptCount val="104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</c:numCache>
            </c:numRef>
          </c:val>
          <c:smooth val="0"/>
        </c:ser>
        <c:ser>
          <c:idx val="2"/>
          <c:order val="2"/>
          <c:tx>
            <c:v>Neutral / Risk-Off Boundary</c:v>
          </c:tx>
          <c:spPr>
            <a:ln xmlns:a="http://schemas.openxmlformats.org/drawingml/2006/main" w="15875">
              <a:solidFill>
                <a:schemeClr val="bg2">
                  <a:lumMod val="5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_DASH_DATA!$D$2:$D$105</c:f>
              <c:numCache>
                <c:formatCode>m/d/yyyy</c:formatCode>
                <c:ptCount val="104"/>
                <c:pt idx="0">
                  <c:v>45450</c:v>
                </c:pt>
                <c:pt idx="1">
                  <c:v>45457</c:v>
                </c:pt>
                <c:pt idx="2">
                  <c:v>45464</c:v>
                </c:pt>
                <c:pt idx="3">
                  <c:v>45471</c:v>
                </c:pt>
                <c:pt idx="4">
                  <c:v>45478</c:v>
                </c:pt>
                <c:pt idx="5">
                  <c:v>45485</c:v>
                </c:pt>
                <c:pt idx="6">
                  <c:v>45492</c:v>
                </c:pt>
                <c:pt idx="7">
                  <c:v>45499</c:v>
                </c:pt>
                <c:pt idx="8">
                  <c:v>45506</c:v>
                </c:pt>
                <c:pt idx="9">
                  <c:v>45513</c:v>
                </c:pt>
                <c:pt idx="10">
                  <c:v>45520</c:v>
                </c:pt>
                <c:pt idx="11">
                  <c:v>45527</c:v>
                </c:pt>
                <c:pt idx="12">
                  <c:v>45534</c:v>
                </c:pt>
                <c:pt idx="13">
                  <c:v>45541</c:v>
                </c:pt>
                <c:pt idx="14">
                  <c:v>45548</c:v>
                </c:pt>
                <c:pt idx="15">
                  <c:v>45555</c:v>
                </c:pt>
                <c:pt idx="16">
                  <c:v>45562</c:v>
                </c:pt>
                <c:pt idx="17">
                  <c:v>45569</c:v>
                </c:pt>
                <c:pt idx="18">
                  <c:v>45576</c:v>
                </c:pt>
                <c:pt idx="19">
                  <c:v>45583</c:v>
                </c:pt>
                <c:pt idx="20">
                  <c:v>45590</c:v>
                </c:pt>
                <c:pt idx="21">
                  <c:v>45597</c:v>
                </c:pt>
                <c:pt idx="22">
                  <c:v>45604</c:v>
                </c:pt>
                <c:pt idx="23">
                  <c:v>45611</c:v>
                </c:pt>
                <c:pt idx="24">
                  <c:v>45618</c:v>
                </c:pt>
                <c:pt idx="25">
                  <c:v>45625</c:v>
                </c:pt>
                <c:pt idx="26">
                  <c:v>45632</c:v>
                </c:pt>
                <c:pt idx="27">
                  <c:v>45639</c:v>
                </c:pt>
                <c:pt idx="28">
                  <c:v>45646</c:v>
                </c:pt>
                <c:pt idx="29">
                  <c:v>45653</c:v>
                </c:pt>
                <c:pt idx="30">
                  <c:v>45660</c:v>
                </c:pt>
                <c:pt idx="31">
                  <c:v>45667</c:v>
                </c:pt>
                <c:pt idx="32">
                  <c:v>45674</c:v>
                </c:pt>
                <c:pt idx="33">
                  <c:v>45681</c:v>
                </c:pt>
                <c:pt idx="34">
                  <c:v>45688</c:v>
                </c:pt>
                <c:pt idx="35">
                  <c:v>45695</c:v>
                </c:pt>
                <c:pt idx="36">
                  <c:v>45702</c:v>
                </c:pt>
                <c:pt idx="37">
                  <c:v>45709</c:v>
                </c:pt>
                <c:pt idx="38">
                  <c:v>45716</c:v>
                </c:pt>
                <c:pt idx="39">
                  <c:v>45723</c:v>
                </c:pt>
                <c:pt idx="40">
                  <c:v>45730</c:v>
                </c:pt>
                <c:pt idx="41">
                  <c:v>45737</c:v>
                </c:pt>
                <c:pt idx="42">
                  <c:v>45744</c:v>
                </c:pt>
                <c:pt idx="43">
                  <c:v>45751</c:v>
                </c:pt>
                <c:pt idx="44">
                  <c:v>45758</c:v>
                </c:pt>
                <c:pt idx="45">
                  <c:v>45765</c:v>
                </c:pt>
                <c:pt idx="46">
                  <c:v>45772</c:v>
                </c:pt>
                <c:pt idx="47">
                  <c:v>45779</c:v>
                </c:pt>
                <c:pt idx="48">
                  <c:v>45786</c:v>
                </c:pt>
                <c:pt idx="49">
                  <c:v>45793</c:v>
                </c:pt>
                <c:pt idx="50">
                  <c:v>45800</c:v>
                </c:pt>
                <c:pt idx="51">
                  <c:v>45807</c:v>
                </c:pt>
                <c:pt idx="52">
                  <c:v>45814</c:v>
                </c:pt>
                <c:pt idx="53">
                  <c:v>45821</c:v>
                </c:pt>
                <c:pt idx="54">
                  <c:v>45828</c:v>
                </c:pt>
                <c:pt idx="55">
                  <c:v>45835</c:v>
                </c:pt>
                <c:pt idx="56">
                  <c:v>45842</c:v>
                </c:pt>
                <c:pt idx="57">
                  <c:v>45849</c:v>
                </c:pt>
                <c:pt idx="58">
                  <c:v>45856</c:v>
                </c:pt>
                <c:pt idx="59">
                  <c:v>45863</c:v>
                </c:pt>
                <c:pt idx="60">
                  <c:v>45870</c:v>
                </c:pt>
                <c:pt idx="61">
                  <c:v>45877</c:v>
                </c:pt>
                <c:pt idx="62">
                  <c:v>45884</c:v>
                </c:pt>
                <c:pt idx="63">
                  <c:v>45891</c:v>
                </c:pt>
                <c:pt idx="64">
                  <c:v>45898</c:v>
                </c:pt>
                <c:pt idx="65">
                  <c:v>45905</c:v>
                </c:pt>
                <c:pt idx="66">
                  <c:v>45912</c:v>
                </c:pt>
                <c:pt idx="67">
                  <c:v>45919</c:v>
                </c:pt>
                <c:pt idx="68">
                  <c:v>45926</c:v>
                </c:pt>
                <c:pt idx="69">
                  <c:v>45933</c:v>
                </c:pt>
                <c:pt idx="70">
                  <c:v>45940</c:v>
                </c:pt>
                <c:pt idx="71">
                  <c:v>45947</c:v>
                </c:pt>
                <c:pt idx="72">
                  <c:v>45954</c:v>
                </c:pt>
                <c:pt idx="73">
                  <c:v>45961</c:v>
                </c:pt>
                <c:pt idx="74">
                  <c:v>45968</c:v>
                </c:pt>
                <c:pt idx="75">
                  <c:v>45975</c:v>
                </c:pt>
                <c:pt idx="76">
                  <c:v>45982</c:v>
                </c:pt>
                <c:pt idx="77">
                  <c:v>45989</c:v>
                </c:pt>
                <c:pt idx="78">
                  <c:v>45996</c:v>
                </c:pt>
                <c:pt idx="79">
                  <c:v>46003</c:v>
                </c:pt>
                <c:pt idx="80">
                  <c:v>46010</c:v>
                </c:pt>
                <c:pt idx="81">
                  <c:v>46017</c:v>
                </c:pt>
                <c:pt idx="82">
                  <c:v>46024</c:v>
                </c:pt>
                <c:pt idx="83">
                  <c:v>46031</c:v>
                </c:pt>
                <c:pt idx="84">
                  <c:v>46038</c:v>
                </c:pt>
                <c:pt idx="85">
                  <c:v>46045</c:v>
                </c:pt>
                <c:pt idx="86">
                  <c:v>46052</c:v>
                </c:pt>
                <c:pt idx="87">
                  <c:v>46059</c:v>
                </c:pt>
                <c:pt idx="88">
                  <c:v>46066</c:v>
                </c:pt>
                <c:pt idx="89">
                  <c:v>46073</c:v>
                </c:pt>
                <c:pt idx="90">
                  <c:v>46080</c:v>
                </c:pt>
                <c:pt idx="91">
                  <c:v>46087</c:v>
                </c:pt>
                <c:pt idx="92">
                  <c:v>46094</c:v>
                </c:pt>
                <c:pt idx="93">
                  <c:v>46101</c:v>
                </c:pt>
                <c:pt idx="94">
                  <c:v>46108</c:v>
                </c:pt>
                <c:pt idx="95">
                  <c:v>46115</c:v>
                </c:pt>
                <c:pt idx="96">
                  <c:v>46122</c:v>
                </c:pt>
                <c:pt idx="97">
                  <c:v>46129</c:v>
                </c:pt>
                <c:pt idx="98">
                  <c:v>46136</c:v>
                </c:pt>
                <c:pt idx="99">
                  <c:v>46143</c:v>
                </c:pt>
                <c:pt idx="100">
                  <c:v>46150</c:v>
                </c:pt>
                <c:pt idx="101">
                  <c:v>46157</c:v>
                </c:pt>
                <c:pt idx="102">
                  <c:v>46164</c:v>
                </c:pt>
                <c:pt idx="103">
                  <c:v>46171</c:v>
                </c:pt>
              </c:numCache>
            </c:numRef>
          </c:cat>
          <c:val>
            <c:numRef>
              <c:f>_DASH_DATA!$G$2:$G$105</c:f>
              <c:numCache>
                <c:formatCode>General</c:formatCode>
                <c:ptCount val="104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  <c:pt idx="13">
                  <c:v>2.5</c:v>
                </c:pt>
                <c:pt idx="14">
                  <c:v>2.5</c:v>
                </c:pt>
                <c:pt idx="15">
                  <c:v>2.5</c:v>
                </c:pt>
                <c:pt idx="16">
                  <c:v>2.5</c:v>
                </c:pt>
                <c:pt idx="17">
                  <c:v>2.5</c:v>
                </c:pt>
                <c:pt idx="18">
                  <c:v>2.5</c:v>
                </c:pt>
                <c:pt idx="19">
                  <c:v>2.5</c:v>
                </c:pt>
                <c:pt idx="20">
                  <c:v>2.5</c:v>
                </c:pt>
                <c:pt idx="21">
                  <c:v>2.5</c:v>
                </c:pt>
                <c:pt idx="22">
                  <c:v>2.5</c:v>
                </c:pt>
                <c:pt idx="23">
                  <c:v>2.5</c:v>
                </c:pt>
                <c:pt idx="24">
                  <c:v>2.5</c:v>
                </c:pt>
                <c:pt idx="25">
                  <c:v>2.5</c:v>
                </c:pt>
                <c:pt idx="26">
                  <c:v>2.5</c:v>
                </c:pt>
                <c:pt idx="27">
                  <c:v>2.5</c:v>
                </c:pt>
                <c:pt idx="28">
                  <c:v>2.5</c:v>
                </c:pt>
                <c:pt idx="29">
                  <c:v>2.5</c:v>
                </c:pt>
                <c:pt idx="30">
                  <c:v>2.5</c:v>
                </c:pt>
                <c:pt idx="31">
                  <c:v>2.5</c:v>
                </c:pt>
                <c:pt idx="32">
                  <c:v>2.5</c:v>
                </c:pt>
                <c:pt idx="33">
                  <c:v>2.5</c:v>
                </c:pt>
                <c:pt idx="34">
                  <c:v>2.5</c:v>
                </c:pt>
                <c:pt idx="35">
                  <c:v>2.5</c:v>
                </c:pt>
                <c:pt idx="36">
                  <c:v>2.5</c:v>
                </c:pt>
                <c:pt idx="37">
                  <c:v>2.5</c:v>
                </c:pt>
                <c:pt idx="38">
                  <c:v>2.5</c:v>
                </c:pt>
                <c:pt idx="39">
                  <c:v>2.5</c:v>
                </c:pt>
                <c:pt idx="40">
                  <c:v>2.5</c:v>
                </c:pt>
                <c:pt idx="41">
                  <c:v>2.5</c:v>
                </c:pt>
                <c:pt idx="42">
                  <c:v>2.5</c:v>
                </c:pt>
                <c:pt idx="43">
                  <c:v>2.5</c:v>
                </c:pt>
                <c:pt idx="44">
                  <c:v>2.5</c:v>
                </c:pt>
                <c:pt idx="45">
                  <c:v>2.5</c:v>
                </c:pt>
                <c:pt idx="46">
                  <c:v>2.5</c:v>
                </c:pt>
                <c:pt idx="47">
                  <c:v>2.5</c:v>
                </c:pt>
                <c:pt idx="48">
                  <c:v>2.5</c:v>
                </c:pt>
                <c:pt idx="49">
                  <c:v>2.5</c:v>
                </c:pt>
                <c:pt idx="50">
                  <c:v>2.5</c:v>
                </c:pt>
                <c:pt idx="51">
                  <c:v>2.5</c:v>
                </c:pt>
                <c:pt idx="52">
                  <c:v>2.5</c:v>
                </c:pt>
                <c:pt idx="53">
                  <c:v>2.5</c:v>
                </c:pt>
                <c:pt idx="54">
                  <c:v>2.5</c:v>
                </c:pt>
                <c:pt idx="55">
                  <c:v>2.5</c:v>
                </c:pt>
                <c:pt idx="56">
                  <c:v>2.5</c:v>
                </c:pt>
                <c:pt idx="57">
                  <c:v>2.5</c:v>
                </c:pt>
                <c:pt idx="58">
                  <c:v>2.5</c:v>
                </c:pt>
                <c:pt idx="59">
                  <c:v>2.5</c:v>
                </c:pt>
                <c:pt idx="60">
                  <c:v>2.5</c:v>
                </c:pt>
                <c:pt idx="61">
                  <c:v>2.5</c:v>
                </c:pt>
                <c:pt idx="62">
                  <c:v>2.5</c:v>
                </c:pt>
                <c:pt idx="63">
                  <c:v>2.5</c:v>
                </c:pt>
                <c:pt idx="64">
                  <c:v>2.5</c:v>
                </c:pt>
                <c:pt idx="65">
                  <c:v>2.5</c:v>
                </c:pt>
                <c:pt idx="66">
                  <c:v>2.5</c:v>
                </c:pt>
                <c:pt idx="67">
                  <c:v>2.5</c:v>
                </c:pt>
                <c:pt idx="68">
                  <c:v>2.5</c:v>
                </c:pt>
                <c:pt idx="69">
                  <c:v>2.5</c:v>
                </c:pt>
                <c:pt idx="70">
                  <c:v>2.5</c:v>
                </c:pt>
                <c:pt idx="71">
                  <c:v>2.5</c:v>
                </c:pt>
                <c:pt idx="72">
                  <c:v>2.5</c:v>
                </c:pt>
                <c:pt idx="73">
                  <c:v>2.5</c:v>
                </c:pt>
                <c:pt idx="74">
                  <c:v>2.5</c:v>
                </c:pt>
                <c:pt idx="75">
                  <c:v>2.5</c:v>
                </c:pt>
                <c:pt idx="76">
                  <c:v>2.5</c:v>
                </c:pt>
                <c:pt idx="77">
                  <c:v>2.5</c:v>
                </c:pt>
                <c:pt idx="78">
                  <c:v>2.5</c:v>
                </c:pt>
                <c:pt idx="79">
                  <c:v>2.5</c:v>
                </c:pt>
                <c:pt idx="80">
                  <c:v>2.5</c:v>
                </c:pt>
                <c:pt idx="81">
                  <c:v>2.5</c:v>
                </c:pt>
                <c:pt idx="82">
                  <c:v>2.5</c:v>
                </c:pt>
                <c:pt idx="83">
                  <c:v>2.5</c:v>
                </c:pt>
                <c:pt idx="84">
                  <c:v>2.5</c:v>
                </c:pt>
                <c:pt idx="85">
                  <c:v>2.5</c:v>
                </c:pt>
                <c:pt idx="86">
                  <c:v>2.5</c:v>
                </c:pt>
                <c:pt idx="87">
                  <c:v>2.5</c:v>
                </c:pt>
                <c:pt idx="88">
                  <c:v>2.5</c:v>
                </c:pt>
                <c:pt idx="89">
                  <c:v>2.5</c:v>
                </c:pt>
                <c:pt idx="90">
                  <c:v>2.5</c:v>
                </c:pt>
                <c:pt idx="91">
                  <c:v>2.5</c:v>
                </c:pt>
                <c:pt idx="92">
                  <c:v>2.5</c:v>
                </c:pt>
                <c:pt idx="93">
                  <c:v>2.5</c:v>
                </c:pt>
                <c:pt idx="94">
                  <c:v>2.5</c:v>
                </c:pt>
                <c:pt idx="95">
                  <c:v>2.5</c:v>
                </c:pt>
                <c:pt idx="96">
                  <c:v>2.5</c:v>
                </c:pt>
                <c:pt idx="97">
                  <c:v>2.5</c:v>
                </c:pt>
                <c:pt idx="98">
                  <c:v>2.5</c:v>
                </c:pt>
                <c:pt idx="99">
                  <c:v>2.5</c:v>
                </c:pt>
                <c:pt idx="100">
                  <c:v>2.5</c:v>
                </c:pt>
                <c:pt idx="101">
                  <c:v>2.5</c:v>
                </c:pt>
                <c:pt idx="102">
                  <c:v>2.5</c:v>
                </c:pt>
                <c:pt idx="103">
                  <c:v>2.5</c:v>
                </c:pt>
              </c:numCache>
            </c:numRef>
          </c:val>
          <c:smooth val="0"/>
        </c:ser>
        <c:ser>
          <c:idx val="3"/>
          <c:order val="3"/>
          <c:tx>
            <c:v>Latest Observation</c:v>
          </c:tx>
          <c:spPr>
            <a:ln xmlns:a="http://schemas.openxmlformats.org/drawingml/2006/main" w="28575">
              <a:solidFill>
                <a:schemeClr val="accent4"/>
              </a:solidFill>
              <a:prstDash val="solid"/>
            </a:ln>
          </c:spPr>
          <c:marker>
            <c:symbol val="diamond"/>
            <c:size val="7"/>
          </c:marker>
          <c:cat>
            <c:numRef>
              <c:f>_DASH_DATA!$D$2:$D$105</c:f>
              <c:numCache>
                <c:formatCode>m/d/yyyy</c:formatCode>
                <c:ptCount val="104"/>
                <c:pt idx="0">
                  <c:v>45450</c:v>
                </c:pt>
                <c:pt idx="1">
                  <c:v>45457</c:v>
                </c:pt>
                <c:pt idx="2">
                  <c:v>45464</c:v>
                </c:pt>
                <c:pt idx="3">
                  <c:v>45471</c:v>
                </c:pt>
                <c:pt idx="4">
                  <c:v>45478</c:v>
                </c:pt>
                <c:pt idx="5">
                  <c:v>45485</c:v>
                </c:pt>
                <c:pt idx="6">
                  <c:v>45492</c:v>
                </c:pt>
                <c:pt idx="7">
                  <c:v>45499</c:v>
                </c:pt>
                <c:pt idx="8">
                  <c:v>45506</c:v>
                </c:pt>
                <c:pt idx="9">
                  <c:v>45513</c:v>
                </c:pt>
                <c:pt idx="10">
                  <c:v>45520</c:v>
                </c:pt>
                <c:pt idx="11">
                  <c:v>45527</c:v>
                </c:pt>
                <c:pt idx="12">
                  <c:v>45534</c:v>
                </c:pt>
                <c:pt idx="13">
                  <c:v>45541</c:v>
                </c:pt>
                <c:pt idx="14">
                  <c:v>45548</c:v>
                </c:pt>
                <c:pt idx="15">
                  <c:v>45555</c:v>
                </c:pt>
                <c:pt idx="16">
                  <c:v>45562</c:v>
                </c:pt>
                <c:pt idx="17">
                  <c:v>45569</c:v>
                </c:pt>
                <c:pt idx="18">
                  <c:v>45576</c:v>
                </c:pt>
                <c:pt idx="19">
                  <c:v>45583</c:v>
                </c:pt>
                <c:pt idx="20">
                  <c:v>45590</c:v>
                </c:pt>
                <c:pt idx="21">
                  <c:v>45597</c:v>
                </c:pt>
                <c:pt idx="22">
                  <c:v>45604</c:v>
                </c:pt>
                <c:pt idx="23">
                  <c:v>45611</c:v>
                </c:pt>
                <c:pt idx="24">
                  <c:v>45618</c:v>
                </c:pt>
                <c:pt idx="25">
                  <c:v>45625</c:v>
                </c:pt>
                <c:pt idx="26">
                  <c:v>45632</c:v>
                </c:pt>
                <c:pt idx="27">
                  <c:v>45639</c:v>
                </c:pt>
                <c:pt idx="28">
                  <c:v>45646</c:v>
                </c:pt>
                <c:pt idx="29">
                  <c:v>45653</c:v>
                </c:pt>
                <c:pt idx="30">
                  <c:v>45660</c:v>
                </c:pt>
                <c:pt idx="31">
                  <c:v>45667</c:v>
                </c:pt>
                <c:pt idx="32">
                  <c:v>45674</c:v>
                </c:pt>
                <c:pt idx="33">
                  <c:v>45681</c:v>
                </c:pt>
                <c:pt idx="34">
                  <c:v>45688</c:v>
                </c:pt>
                <c:pt idx="35">
                  <c:v>45695</c:v>
                </c:pt>
                <c:pt idx="36">
                  <c:v>45702</c:v>
                </c:pt>
                <c:pt idx="37">
                  <c:v>45709</c:v>
                </c:pt>
                <c:pt idx="38">
                  <c:v>45716</c:v>
                </c:pt>
                <c:pt idx="39">
                  <c:v>45723</c:v>
                </c:pt>
                <c:pt idx="40">
                  <c:v>45730</c:v>
                </c:pt>
                <c:pt idx="41">
                  <c:v>45737</c:v>
                </c:pt>
                <c:pt idx="42">
                  <c:v>45744</c:v>
                </c:pt>
                <c:pt idx="43">
                  <c:v>45751</c:v>
                </c:pt>
                <c:pt idx="44">
                  <c:v>45758</c:v>
                </c:pt>
                <c:pt idx="45">
                  <c:v>45765</c:v>
                </c:pt>
                <c:pt idx="46">
                  <c:v>45772</c:v>
                </c:pt>
                <c:pt idx="47">
                  <c:v>45779</c:v>
                </c:pt>
                <c:pt idx="48">
                  <c:v>45786</c:v>
                </c:pt>
                <c:pt idx="49">
                  <c:v>45793</c:v>
                </c:pt>
                <c:pt idx="50">
                  <c:v>45800</c:v>
                </c:pt>
                <c:pt idx="51">
                  <c:v>45807</c:v>
                </c:pt>
                <c:pt idx="52">
                  <c:v>45814</c:v>
                </c:pt>
                <c:pt idx="53">
                  <c:v>45821</c:v>
                </c:pt>
                <c:pt idx="54">
                  <c:v>45828</c:v>
                </c:pt>
                <c:pt idx="55">
                  <c:v>45835</c:v>
                </c:pt>
                <c:pt idx="56">
                  <c:v>45842</c:v>
                </c:pt>
                <c:pt idx="57">
                  <c:v>45849</c:v>
                </c:pt>
                <c:pt idx="58">
                  <c:v>45856</c:v>
                </c:pt>
                <c:pt idx="59">
                  <c:v>45863</c:v>
                </c:pt>
                <c:pt idx="60">
                  <c:v>45870</c:v>
                </c:pt>
                <c:pt idx="61">
                  <c:v>45877</c:v>
                </c:pt>
                <c:pt idx="62">
                  <c:v>45884</c:v>
                </c:pt>
                <c:pt idx="63">
                  <c:v>45891</c:v>
                </c:pt>
                <c:pt idx="64">
                  <c:v>45898</c:v>
                </c:pt>
                <c:pt idx="65">
                  <c:v>45905</c:v>
                </c:pt>
                <c:pt idx="66">
                  <c:v>45912</c:v>
                </c:pt>
                <c:pt idx="67">
                  <c:v>45919</c:v>
                </c:pt>
                <c:pt idx="68">
                  <c:v>45926</c:v>
                </c:pt>
                <c:pt idx="69">
                  <c:v>45933</c:v>
                </c:pt>
                <c:pt idx="70">
                  <c:v>45940</c:v>
                </c:pt>
                <c:pt idx="71">
                  <c:v>45947</c:v>
                </c:pt>
                <c:pt idx="72">
                  <c:v>45954</c:v>
                </c:pt>
                <c:pt idx="73">
                  <c:v>45961</c:v>
                </c:pt>
                <c:pt idx="74">
                  <c:v>45968</c:v>
                </c:pt>
                <c:pt idx="75">
                  <c:v>45975</c:v>
                </c:pt>
                <c:pt idx="76">
                  <c:v>45982</c:v>
                </c:pt>
                <c:pt idx="77">
                  <c:v>45989</c:v>
                </c:pt>
                <c:pt idx="78">
                  <c:v>45996</c:v>
                </c:pt>
                <c:pt idx="79">
                  <c:v>46003</c:v>
                </c:pt>
                <c:pt idx="80">
                  <c:v>46010</c:v>
                </c:pt>
                <c:pt idx="81">
                  <c:v>46017</c:v>
                </c:pt>
                <c:pt idx="82">
                  <c:v>46024</c:v>
                </c:pt>
                <c:pt idx="83">
                  <c:v>46031</c:v>
                </c:pt>
                <c:pt idx="84">
                  <c:v>46038</c:v>
                </c:pt>
                <c:pt idx="85">
                  <c:v>46045</c:v>
                </c:pt>
                <c:pt idx="86">
                  <c:v>46052</c:v>
                </c:pt>
                <c:pt idx="87">
                  <c:v>46059</c:v>
                </c:pt>
                <c:pt idx="88">
                  <c:v>46066</c:v>
                </c:pt>
                <c:pt idx="89">
                  <c:v>46073</c:v>
                </c:pt>
                <c:pt idx="90">
                  <c:v>46080</c:v>
                </c:pt>
                <c:pt idx="91">
                  <c:v>46087</c:v>
                </c:pt>
                <c:pt idx="92">
                  <c:v>46094</c:v>
                </c:pt>
                <c:pt idx="93">
                  <c:v>46101</c:v>
                </c:pt>
                <c:pt idx="94">
                  <c:v>46108</c:v>
                </c:pt>
                <c:pt idx="95">
                  <c:v>46115</c:v>
                </c:pt>
                <c:pt idx="96">
                  <c:v>46122</c:v>
                </c:pt>
                <c:pt idx="97">
                  <c:v>46129</c:v>
                </c:pt>
                <c:pt idx="98">
                  <c:v>46136</c:v>
                </c:pt>
                <c:pt idx="99">
                  <c:v>46143</c:v>
                </c:pt>
                <c:pt idx="100">
                  <c:v>46150</c:v>
                </c:pt>
                <c:pt idx="101">
                  <c:v>46157</c:v>
                </c:pt>
                <c:pt idx="102">
                  <c:v>46164</c:v>
                </c:pt>
                <c:pt idx="103">
                  <c:v>46171</c:v>
                </c:pt>
              </c:numCache>
            </c:numRef>
          </c:cat>
          <c:val>
            <c:numRef>
              <c:f>_DASH_DATA!$H$2:$H$105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  <a:prstDash val="solid"/>
          </a:ln>
        </c:spPr>
        <c:txPr>
          <a:bodyPr xmlns:a="http://schemas.openxmlformats.org/drawingml/2006/main" rot="-2700000" anchor="ctr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4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  <a:prstDash val="solid"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noFill/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1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Rates &amp; Inflation Regime (Last 2Y)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400" b="1" i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Rates &amp; Inflation Regime</c:v>
          </c:tx>
          <c:spPr>
            <a:ln xmlns:a="http://schemas.openxmlformats.org/drawingml/2006/main" w="25400">
              <a:solidFill>
                <a:srgbClr val="002060"/>
              </a:solidFill>
              <a:prstDash val="solid"/>
            </a:ln>
          </c:spPr>
          <c:marker>
            <c:symbol val="none"/>
          </c:marker>
          <c:cat>
            <c:numRef>
              <c:f>_DASH_DATA!$K$2:$K$105</c:f>
              <c:numCache>
                <c:formatCode>m/dd/yyyy</c:formatCode>
                <c:ptCount val="104"/>
                <c:pt idx="0">
                  <c:v>45450</c:v>
                </c:pt>
                <c:pt idx="1">
                  <c:v>45457</c:v>
                </c:pt>
                <c:pt idx="2">
                  <c:v>45464</c:v>
                </c:pt>
                <c:pt idx="3">
                  <c:v>45471</c:v>
                </c:pt>
                <c:pt idx="4">
                  <c:v>45478</c:v>
                </c:pt>
                <c:pt idx="5">
                  <c:v>45485</c:v>
                </c:pt>
                <c:pt idx="6">
                  <c:v>45492</c:v>
                </c:pt>
                <c:pt idx="7">
                  <c:v>45499</c:v>
                </c:pt>
                <c:pt idx="8">
                  <c:v>45506</c:v>
                </c:pt>
                <c:pt idx="9">
                  <c:v>45513</c:v>
                </c:pt>
                <c:pt idx="10">
                  <c:v>45520</c:v>
                </c:pt>
                <c:pt idx="11">
                  <c:v>45527</c:v>
                </c:pt>
                <c:pt idx="12">
                  <c:v>45534</c:v>
                </c:pt>
                <c:pt idx="13">
                  <c:v>45541</c:v>
                </c:pt>
                <c:pt idx="14">
                  <c:v>45548</c:v>
                </c:pt>
                <c:pt idx="15">
                  <c:v>45555</c:v>
                </c:pt>
                <c:pt idx="16">
                  <c:v>45562</c:v>
                </c:pt>
                <c:pt idx="17">
                  <c:v>45569</c:v>
                </c:pt>
                <c:pt idx="18">
                  <c:v>45576</c:v>
                </c:pt>
                <c:pt idx="19">
                  <c:v>45583</c:v>
                </c:pt>
                <c:pt idx="20">
                  <c:v>45590</c:v>
                </c:pt>
                <c:pt idx="21">
                  <c:v>45597</c:v>
                </c:pt>
                <c:pt idx="22">
                  <c:v>45604</c:v>
                </c:pt>
                <c:pt idx="23">
                  <c:v>45611</c:v>
                </c:pt>
                <c:pt idx="24">
                  <c:v>45618</c:v>
                </c:pt>
                <c:pt idx="25">
                  <c:v>45625</c:v>
                </c:pt>
                <c:pt idx="26">
                  <c:v>45632</c:v>
                </c:pt>
                <c:pt idx="27">
                  <c:v>45639</c:v>
                </c:pt>
                <c:pt idx="28">
                  <c:v>45646</c:v>
                </c:pt>
                <c:pt idx="29">
                  <c:v>45653</c:v>
                </c:pt>
                <c:pt idx="30">
                  <c:v>45660</c:v>
                </c:pt>
                <c:pt idx="31">
                  <c:v>45667</c:v>
                </c:pt>
                <c:pt idx="32">
                  <c:v>45674</c:v>
                </c:pt>
                <c:pt idx="33">
                  <c:v>45681</c:v>
                </c:pt>
                <c:pt idx="34">
                  <c:v>45688</c:v>
                </c:pt>
                <c:pt idx="35">
                  <c:v>45695</c:v>
                </c:pt>
                <c:pt idx="36">
                  <c:v>45702</c:v>
                </c:pt>
                <c:pt idx="37">
                  <c:v>45709</c:v>
                </c:pt>
                <c:pt idx="38">
                  <c:v>45716</c:v>
                </c:pt>
                <c:pt idx="39">
                  <c:v>45723</c:v>
                </c:pt>
                <c:pt idx="40">
                  <c:v>45730</c:v>
                </c:pt>
                <c:pt idx="41">
                  <c:v>45737</c:v>
                </c:pt>
                <c:pt idx="42">
                  <c:v>45744</c:v>
                </c:pt>
                <c:pt idx="43">
                  <c:v>45751</c:v>
                </c:pt>
                <c:pt idx="44">
                  <c:v>45758</c:v>
                </c:pt>
                <c:pt idx="45">
                  <c:v>45765</c:v>
                </c:pt>
                <c:pt idx="46">
                  <c:v>45772</c:v>
                </c:pt>
                <c:pt idx="47">
                  <c:v>45779</c:v>
                </c:pt>
                <c:pt idx="48">
                  <c:v>45786</c:v>
                </c:pt>
                <c:pt idx="49">
                  <c:v>45793</c:v>
                </c:pt>
                <c:pt idx="50">
                  <c:v>45800</c:v>
                </c:pt>
                <c:pt idx="51">
                  <c:v>45807</c:v>
                </c:pt>
                <c:pt idx="52">
                  <c:v>45814</c:v>
                </c:pt>
                <c:pt idx="53">
                  <c:v>45821</c:v>
                </c:pt>
                <c:pt idx="54">
                  <c:v>45828</c:v>
                </c:pt>
                <c:pt idx="55">
                  <c:v>45835</c:v>
                </c:pt>
                <c:pt idx="56">
                  <c:v>45842</c:v>
                </c:pt>
                <c:pt idx="57">
                  <c:v>45849</c:v>
                </c:pt>
                <c:pt idx="58">
                  <c:v>45856</c:v>
                </c:pt>
                <c:pt idx="59">
                  <c:v>45863</c:v>
                </c:pt>
                <c:pt idx="60">
                  <c:v>45870</c:v>
                </c:pt>
                <c:pt idx="61">
                  <c:v>45877</c:v>
                </c:pt>
                <c:pt idx="62">
                  <c:v>45884</c:v>
                </c:pt>
                <c:pt idx="63">
                  <c:v>45891</c:v>
                </c:pt>
                <c:pt idx="64">
                  <c:v>45898</c:v>
                </c:pt>
                <c:pt idx="65">
                  <c:v>45905</c:v>
                </c:pt>
                <c:pt idx="66">
                  <c:v>45912</c:v>
                </c:pt>
                <c:pt idx="67">
                  <c:v>45919</c:v>
                </c:pt>
                <c:pt idx="68">
                  <c:v>45926</c:v>
                </c:pt>
                <c:pt idx="69">
                  <c:v>45933</c:v>
                </c:pt>
                <c:pt idx="70">
                  <c:v>45940</c:v>
                </c:pt>
                <c:pt idx="71">
                  <c:v>45947</c:v>
                </c:pt>
                <c:pt idx="72">
                  <c:v>45954</c:v>
                </c:pt>
                <c:pt idx="73">
                  <c:v>45961</c:v>
                </c:pt>
                <c:pt idx="74">
                  <c:v>45968</c:v>
                </c:pt>
                <c:pt idx="75">
                  <c:v>45975</c:v>
                </c:pt>
                <c:pt idx="76">
                  <c:v>45982</c:v>
                </c:pt>
                <c:pt idx="77">
                  <c:v>45989</c:v>
                </c:pt>
                <c:pt idx="78">
                  <c:v>45996</c:v>
                </c:pt>
                <c:pt idx="79">
                  <c:v>46003</c:v>
                </c:pt>
                <c:pt idx="80">
                  <c:v>46010</c:v>
                </c:pt>
                <c:pt idx="81">
                  <c:v>46017</c:v>
                </c:pt>
                <c:pt idx="82">
                  <c:v>46024</c:v>
                </c:pt>
                <c:pt idx="83">
                  <c:v>46031</c:v>
                </c:pt>
                <c:pt idx="84">
                  <c:v>46038</c:v>
                </c:pt>
                <c:pt idx="85">
                  <c:v>46045</c:v>
                </c:pt>
                <c:pt idx="86">
                  <c:v>46052</c:v>
                </c:pt>
                <c:pt idx="87">
                  <c:v>46059</c:v>
                </c:pt>
                <c:pt idx="88">
                  <c:v>46066</c:v>
                </c:pt>
                <c:pt idx="89">
                  <c:v>46073</c:v>
                </c:pt>
                <c:pt idx="90">
                  <c:v>46080</c:v>
                </c:pt>
                <c:pt idx="91">
                  <c:v>46087</c:v>
                </c:pt>
                <c:pt idx="92">
                  <c:v>46094</c:v>
                </c:pt>
                <c:pt idx="93">
                  <c:v>46101</c:v>
                </c:pt>
                <c:pt idx="94">
                  <c:v>46108</c:v>
                </c:pt>
                <c:pt idx="95">
                  <c:v>46115</c:v>
                </c:pt>
                <c:pt idx="96">
                  <c:v>46122</c:v>
                </c:pt>
                <c:pt idx="97">
                  <c:v>46129</c:v>
                </c:pt>
                <c:pt idx="98">
                  <c:v>46136</c:v>
                </c:pt>
                <c:pt idx="99">
                  <c:v>46143</c:v>
                </c:pt>
                <c:pt idx="100">
                  <c:v>46150</c:v>
                </c:pt>
                <c:pt idx="101">
                  <c:v>46157</c:v>
                </c:pt>
                <c:pt idx="102">
                  <c:v>46164</c:v>
                </c:pt>
                <c:pt idx="103">
                  <c:v>46171</c:v>
                </c:pt>
              </c:numCache>
            </c:numRef>
          </c:cat>
          <c:val>
            <c:numRef>
              <c:f>_DASH_DATA!$L$2:$L$105</c:f>
              <c:numCache>
                <c:formatCode>General</c:formatCode>
                <c:ptCount val="104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1</c:v>
                </c:pt>
                <c:pt idx="13">
                  <c:v>4</c:v>
                </c:pt>
                <c:pt idx="14">
                  <c:v>4</c:v>
                </c:pt>
                <c:pt idx="15">
                  <c:v>3</c:v>
                </c:pt>
                <c:pt idx="16">
                  <c:v>4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2</c:v>
                </c:pt>
                <c:pt idx="43">
                  <c:v>4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1</c:v>
                </c:pt>
                <c:pt idx="48">
                  <c:v>3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3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4</c:v>
                </c:pt>
                <c:pt idx="61">
                  <c:v>3</c:v>
                </c:pt>
                <c:pt idx="62">
                  <c:v>4</c:v>
                </c:pt>
                <c:pt idx="63">
                  <c:v>3</c:v>
                </c:pt>
                <c:pt idx="64">
                  <c:v>3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2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2</c:v>
                </c:pt>
                <c:pt idx="75">
                  <c:v>1</c:v>
                </c:pt>
                <c:pt idx="76">
                  <c:v>2</c:v>
                </c:pt>
                <c:pt idx="77">
                  <c:v>4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3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3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2</c:v>
                </c:pt>
                <c:pt idx="97">
                  <c:v>4</c:v>
                </c:pt>
                <c:pt idx="98">
                  <c:v>3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2</c:v>
                </c:pt>
              </c:numCache>
            </c:numRef>
          </c:val>
          <c:smooth val="0"/>
        </c:ser>
        <c:ser>
          <c:idx val="1"/>
          <c:order val="1"/>
          <c:tx>
            <c:v>Latest Observation</c:v>
          </c:tx>
          <c:spPr>
            <a:ln xmlns:a="http://schemas.openxmlformats.org/drawingml/2006/main" w="28575">
              <a:solidFill>
                <a:schemeClr val="accent2"/>
              </a:solidFill>
              <a:prstDash val="solid"/>
            </a:ln>
          </c:spPr>
          <c:marker>
            <c:symbol val="diamond"/>
            <c:size val="7"/>
          </c:marker>
          <c:cat>
            <c:numRef>
              <c:f>_DASH_DATA!$K$2:$K$105</c:f>
              <c:numCache>
                <c:formatCode>m/dd/yyyy</c:formatCode>
                <c:ptCount val="104"/>
                <c:pt idx="0">
                  <c:v>45450</c:v>
                </c:pt>
                <c:pt idx="1">
                  <c:v>45457</c:v>
                </c:pt>
                <c:pt idx="2">
                  <c:v>45464</c:v>
                </c:pt>
                <c:pt idx="3">
                  <c:v>45471</c:v>
                </c:pt>
                <c:pt idx="4">
                  <c:v>45478</c:v>
                </c:pt>
                <c:pt idx="5">
                  <c:v>45485</c:v>
                </c:pt>
                <c:pt idx="6">
                  <c:v>45492</c:v>
                </c:pt>
                <c:pt idx="7">
                  <c:v>45499</c:v>
                </c:pt>
                <c:pt idx="8">
                  <c:v>45506</c:v>
                </c:pt>
                <c:pt idx="9">
                  <c:v>45513</c:v>
                </c:pt>
                <c:pt idx="10">
                  <c:v>45520</c:v>
                </c:pt>
                <c:pt idx="11">
                  <c:v>45527</c:v>
                </c:pt>
                <c:pt idx="12">
                  <c:v>45534</c:v>
                </c:pt>
                <c:pt idx="13">
                  <c:v>45541</c:v>
                </c:pt>
                <c:pt idx="14">
                  <c:v>45548</c:v>
                </c:pt>
                <c:pt idx="15">
                  <c:v>45555</c:v>
                </c:pt>
                <c:pt idx="16">
                  <c:v>45562</c:v>
                </c:pt>
                <c:pt idx="17">
                  <c:v>45569</c:v>
                </c:pt>
                <c:pt idx="18">
                  <c:v>45576</c:v>
                </c:pt>
                <c:pt idx="19">
                  <c:v>45583</c:v>
                </c:pt>
                <c:pt idx="20">
                  <c:v>45590</c:v>
                </c:pt>
                <c:pt idx="21">
                  <c:v>45597</c:v>
                </c:pt>
                <c:pt idx="22">
                  <c:v>45604</c:v>
                </c:pt>
                <c:pt idx="23">
                  <c:v>45611</c:v>
                </c:pt>
                <c:pt idx="24">
                  <c:v>45618</c:v>
                </c:pt>
                <c:pt idx="25">
                  <c:v>45625</c:v>
                </c:pt>
                <c:pt idx="26">
                  <c:v>45632</c:v>
                </c:pt>
                <c:pt idx="27">
                  <c:v>45639</c:v>
                </c:pt>
                <c:pt idx="28">
                  <c:v>45646</c:v>
                </c:pt>
                <c:pt idx="29">
                  <c:v>45653</c:v>
                </c:pt>
                <c:pt idx="30">
                  <c:v>45660</c:v>
                </c:pt>
                <c:pt idx="31">
                  <c:v>45667</c:v>
                </c:pt>
                <c:pt idx="32">
                  <c:v>45674</c:v>
                </c:pt>
                <c:pt idx="33">
                  <c:v>45681</c:v>
                </c:pt>
                <c:pt idx="34">
                  <c:v>45688</c:v>
                </c:pt>
                <c:pt idx="35">
                  <c:v>45695</c:v>
                </c:pt>
                <c:pt idx="36">
                  <c:v>45702</c:v>
                </c:pt>
                <c:pt idx="37">
                  <c:v>45709</c:v>
                </c:pt>
                <c:pt idx="38">
                  <c:v>45716</c:v>
                </c:pt>
                <c:pt idx="39">
                  <c:v>45723</c:v>
                </c:pt>
                <c:pt idx="40">
                  <c:v>45730</c:v>
                </c:pt>
                <c:pt idx="41">
                  <c:v>45737</c:v>
                </c:pt>
                <c:pt idx="42">
                  <c:v>45744</c:v>
                </c:pt>
                <c:pt idx="43">
                  <c:v>45751</c:v>
                </c:pt>
                <c:pt idx="44">
                  <c:v>45758</c:v>
                </c:pt>
                <c:pt idx="45">
                  <c:v>45765</c:v>
                </c:pt>
                <c:pt idx="46">
                  <c:v>45772</c:v>
                </c:pt>
                <c:pt idx="47">
                  <c:v>45779</c:v>
                </c:pt>
                <c:pt idx="48">
                  <c:v>45786</c:v>
                </c:pt>
                <c:pt idx="49">
                  <c:v>45793</c:v>
                </c:pt>
                <c:pt idx="50">
                  <c:v>45800</c:v>
                </c:pt>
                <c:pt idx="51">
                  <c:v>45807</c:v>
                </c:pt>
                <c:pt idx="52">
                  <c:v>45814</c:v>
                </c:pt>
                <c:pt idx="53">
                  <c:v>45821</c:v>
                </c:pt>
                <c:pt idx="54">
                  <c:v>45828</c:v>
                </c:pt>
                <c:pt idx="55">
                  <c:v>45835</c:v>
                </c:pt>
                <c:pt idx="56">
                  <c:v>45842</c:v>
                </c:pt>
                <c:pt idx="57">
                  <c:v>45849</c:v>
                </c:pt>
                <c:pt idx="58">
                  <c:v>45856</c:v>
                </c:pt>
                <c:pt idx="59">
                  <c:v>45863</c:v>
                </c:pt>
                <c:pt idx="60">
                  <c:v>45870</c:v>
                </c:pt>
                <c:pt idx="61">
                  <c:v>45877</c:v>
                </c:pt>
                <c:pt idx="62">
                  <c:v>45884</c:v>
                </c:pt>
                <c:pt idx="63">
                  <c:v>45891</c:v>
                </c:pt>
                <c:pt idx="64">
                  <c:v>45898</c:v>
                </c:pt>
                <c:pt idx="65">
                  <c:v>45905</c:v>
                </c:pt>
                <c:pt idx="66">
                  <c:v>45912</c:v>
                </c:pt>
                <c:pt idx="67">
                  <c:v>45919</c:v>
                </c:pt>
                <c:pt idx="68">
                  <c:v>45926</c:v>
                </c:pt>
                <c:pt idx="69">
                  <c:v>45933</c:v>
                </c:pt>
                <c:pt idx="70">
                  <c:v>45940</c:v>
                </c:pt>
                <c:pt idx="71">
                  <c:v>45947</c:v>
                </c:pt>
                <c:pt idx="72">
                  <c:v>45954</c:v>
                </c:pt>
                <c:pt idx="73">
                  <c:v>45961</c:v>
                </c:pt>
                <c:pt idx="74">
                  <c:v>45968</c:v>
                </c:pt>
                <c:pt idx="75">
                  <c:v>45975</c:v>
                </c:pt>
                <c:pt idx="76">
                  <c:v>45982</c:v>
                </c:pt>
                <c:pt idx="77">
                  <c:v>45989</c:v>
                </c:pt>
                <c:pt idx="78">
                  <c:v>45996</c:v>
                </c:pt>
                <c:pt idx="79">
                  <c:v>46003</c:v>
                </c:pt>
                <c:pt idx="80">
                  <c:v>46010</c:v>
                </c:pt>
                <c:pt idx="81">
                  <c:v>46017</c:v>
                </c:pt>
                <c:pt idx="82">
                  <c:v>46024</c:v>
                </c:pt>
                <c:pt idx="83">
                  <c:v>46031</c:v>
                </c:pt>
                <c:pt idx="84">
                  <c:v>46038</c:v>
                </c:pt>
                <c:pt idx="85">
                  <c:v>46045</c:v>
                </c:pt>
                <c:pt idx="86">
                  <c:v>46052</c:v>
                </c:pt>
                <c:pt idx="87">
                  <c:v>46059</c:v>
                </c:pt>
                <c:pt idx="88">
                  <c:v>46066</c:v>
                </c:pt>
                <c:pt idx="89">
                  <c:v>46073</c:v>
                </c:pt>
                <c:pt idx="90">
                  <c:v>46080</c:v>
                </c:pt>
                <c:pt idx="91">
                  <c:v>46087</c:v>
                </c:pt>
                <c:pt idx="92">
                  <c:v>46094</c:v>
                </c:pt>
                <c:pt idx="93">
                  <c:v>46101</c:v>
                </c:pt>
                <c:pt idx="94">
                  <c:v>46108</c:v>
                </c:pt>
                <c:pt idx="95">
                  <c:v>46115</c:v>
                </c:pt>
                <c:pt idx="96">
                  <c:v>46122</c:v>
                </c:pt>
                <c:pt idx="97">
                  <c:v>46129</c:v>
                </c:pt>
                <c:pt idx="98">
                  <c:v>46136</c:v>
                </c:pt>
                <c:pt idx="99">
                  <c:v>46143</c:v>
                </c:pt>
                <c:pt idx="100">
                  <c:v>46150</c:v>
                </c:pt>
                <c:pt idx="101">
                  <c:v>46157</c:v>
                </c:pt>
                <c:pt idx="102">
                  <c:v>46164</c:v>
                </c:pt>
                <c:pt idx="103">
                  <c:v>46171</c:v>
                </c:pt>
              </c:numCache>
            </c:numRef>
          </c:cat>
          <c:val>
            <c:numRef>
              <c:f>_DASH_DATA!$M$2:$M$105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m/dd/yyyy" sourceLinked="0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  <a:prstDash val="solid"/>
          </a:ln>
        </c:spPr>
        <c:txPr>
          <a:bodyPr xmlns:a="http://schemas.openxmlformats.org/drawingml/2006/main" rot="-2700000" anchor="ctr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4"/>
          <c:min val="1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Regime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  <a:prstDash val="solid"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noFill/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1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Risk Appetite Score (Last 2Y)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400" b="1" i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Risk Appetite Score</c:v>
          </c:tx>
          <c:spPr>
            <a:ln xmlns:a="http://schemas.openxmlformats.org/drawingml/2006/main" w="25400">
              <a:solidFill>
                <a:srgbClr val="002060"/>
              </a:solidFill>
              <a:prstDash val="solid"/>
            </a:ln>
          </c:spPr>
          <c:marker>
            <c:symbol val="none"/>
          </c:marker>
          <c:cat>
            <c:numRef>
              <c:f>_DASH_DATA!$D$2:$D$105</c:f>
              <c:numCache>
                <c:formatCode>m/d/yyyy</c:formatCode>
                <c:ptCount val="104"/>
                <c:pt idx="0">
                  <c:v>45450</c:v>
                </c:pt>
                <c:pt idx="1">
                  <c:v>45457</c:v>
                </c:pt>
                <c:pt idx="2">
                  <c:v>45464</c:v>
                </c:pt>
                <c:pt idx="3">
                  <c:v>45471</c:v>
                </c:pt>
                <c:pt idx="4">
                  <c:v>45478</c:v>
                </c:pt>
                <c:pt idx="5">
                  <c:v>45485</c:v>
                </c:pt>
                <c:pt idx="6">
                  <c:v>45492</c:v>
                </c:pt>
                <c:pt idx="7">
                  <c:v>45499</c:v>
                </c:pt>
                <c:pt idx="8">
                  <c:v>45506</c:v>
                </c:pt>
                <c:pt idx="9">
                  <c:v>45513</c:v>
                </c:pt>
                <c:pt idx="10">
                  <c:v>45520</c:v>
                </c:pt>
                <c:pt idx="11">
                  <c:v>45527</c:v>
                </c:pt>
                <c:pt idx="12">
                  <c:v>45534</c:v>
                </c:pt>
                <c:pt idx="13">
                  <c:v>45541</c:v>
                </c:pt>
                <c:pt idx="14">
                  <c:v>45548</c:v>
                </c:pt>
                <c:pt idx="15">
                  <c:v>45555</c:v>
                </c:pt>
                <c:pt idx="16">
                  <c:v>45562</c:v>
                </c:pt>
                <c:pt idx="17">
                  <c:v>45569</c:v>
                </c:pt>
                <c:pt idx="18">
                  <c:v>45576</c:v>
                </c:pt>
                <c:pt idx="19">
                  <c:v>45583</c:v>
                </c:pt>
                <c:pt idx="20">
                  <c:v>45590</c:v>
                </c:pt>
                <c:pt idx="21">
                  <c:v>45597</c:v>
                </c:pt>
                <c:pt idx="22">
                  <c:v>45604</c:v>
                </c:pt>
                <c:pt idx="23">
                  <c:v>45611</c:v>
                </c:pt>
                <c:pt idx="24">
                  <c:v>45618</c:v>
                </c:pt>
                <c:pt idx="25">
                  <c:v>45625</c:v>
                </c:pt>
                <c:pt idx="26">
                  <c:v>45632</c:v>
                </c:pt>
                <c:pt idx="27">
                  <c:v>45639</c:v>
                </c:pt>
                <c:pt idx="28">
                  <c:v>45646</c:v>
                </c:pt>
                <c:pt idx="29">
                  <c:v>45653</c:v>
                </c:pt>
                <c:pt idx="30">
                  <c:v>45660</c:v>
                </c:pt>
                <c:pt idx="31">
                  <c:v>45667</c:v>
                </c:pt>
                <c:pt idx="32">
                  <c:v>45674</c:v>
                </c:pt>
                <c:pt idx="33">
                  <c:v>45681</c:v>
                </c:pt>
                <c:pt idx="34">
                  <c:v>45688</c:v>
                </c:pt>
                <c:pt idx="35">
                  <c:v>45695</c:v>
                </c:pt>
                <c:pt idx="36">
                  <c:v>45702</c:v>
                </c:pt>
                <c:pt idx="37">
                  <c:v>45709</c:v>
                </c:pt>
                <c:pt idx="38">
                  <c:v>45716</c:v>
                </c:pt>
                <c:pt idx="39">
                  <c:v>45723</c:v>
                </c:pt>
                <c:pt idx="40">
                  <c:v>45730</c:v>
                </c:pt>
                <c:pt idx="41">
                  <c:v>45737</c:v>
                </c:pt>
                <c:pt idx="42">
                  <c:v>45744</c:v>
                </c:pt>
                <c:pt idx="43">
                  <c:v>45751</c:v>
                </c:pt>
                <c:pt idx="44">
                  <c:v>45758</c:v>
                </c:pt>
                <c:pt idx="45">
                  <c:v>45765</c:v>
                </c:pt>
                <c:pt idx="46">
                  <c:v>45772</c:v>
                </c:pt>
                <c:pt idx="47">
                  <c:v>45779</c:v>
                </c:pt>
                <c:pt idx="48">
                  <c:v>45786</c:v>
                </c:pt>
                <c:pt idx="49">
                  <c:v>45793</c:v>
                </c:pt>
                <c:pt idx="50">
                  <c:v>45800</c:v>
                </c:pt>
                <c:pt idx="51">
                  <c:v>45807</c:v>
                </c:pt>
                <c:pt idx="52">
                  <c:v>45814</c:v>
                </c:pt>
                <c:pt idx="53">
                  <c:v>45821</c:v>
                </c:pt>
                <c:pt idx="54">
                  <c:v>45828</c:v>
                </c:pt>
                <c:pt idx="55">
                  <c:v>45835</c:v>
                </c:pt>
                <c:pt idx="56">
                  <c:v>45842</c:v>
                </c:pt>
                <c:pt idx="57">
                  <c:v>45849</c:v>
                </c:pt>
                <c:pt idx="58">
                  <c:v>45856</c:v>
                </c:pt>
                <c:pt idx="59">
                  <c:v>45863</c:v>
                </c:pt>
                <c:pt idx="60">
                  <c:v>45870</c:v>
                </c:pt>
                <c:pt idx="61">
                  <c:v>45877</c:v>
                </c:pt>
                <c:pt idx="62">
                  <c:v>45884</c:v>
                </c:pt>
                <c:pt idx="63">
                  <c:v>45891</c:v>
                </c:pt>
                <c:pt idx="64">
                  <c:v>45898</c:v>
                </c:pt>
                <c:pt idx="65">
                  <c:v>45905</c:v>
                </c:pt>
                <c:pt idx="66">
                  <c:v>45912</c:v>
                </c:pt>
                <c:pt idx="67">
                  <c:v>45919</c:v>
                </c:pt>
                <c:pt idx="68">
                  <c:v>45926</c:v>
                </c:pt>
                <c:pt idx="69">
                  <c:v>45933</c:v>
                </c:pt>
                <c:pt idx="70">
                  <c:v>45940</c:v>
                </c:pt>
                <c:pt idx="71">
                  <c:v>45947</c:v>
                </c:pt>
                <c:pt idx="72">
                  <c:v>45954</c:v>
                </c:pt>
                <c:pt idx="73">
                  <c:v>45961</c:v>
                </c:pt>
                <c:pt idx="74">
                  <c:v>45968</c:v>
                </c:pt>
                <c:pt idx="75">
                  <c:v>45975</c:v>
                </c:pt>
                <c:pt idx="76">
                  <c:v>45982</c:v>
                </c:pt>
                <c:pt idx="77">
                  <c:v>45989</c:v>
                </c:pt>
                <c:pt idx="78">
                  <c:v>45996</c:v>
                </c:pt>
                <c:pt idx="79">
                  <c:v>46003</c:v>
                </c:pt>
                <c:pt idx="80">
                  <c:v>46010</c:v>
                </c:pt>
                <c:pt idx="81">
                  <c:v>46017</c:v>
                </c:pt>
                <c:pt idx="82">
                  <c:v>46024</c:v>
                </c:pt>
                <c:pt idx="83">
                  <c:v>46031</c:v>
                </c:pt>
                <c:pt idx="84">
                  <c:v>46038</c:v>
                </c:pt>
                <c:pt idx="85">
                  <c:v>46045</c:v>
                </c:pt>
                <c:pt idx="86">
                  <c:v>46052</c:v>
                </c:pt>
                <c:pt idx="87">
                  <c:v>46059</c:v>
                </c:pt>
                <c:pt idx="88">
                  <c:v>46066</c:v>
                </c:pt>
                <c:pt idx="89">
                  <c:v>46073</c:v>
                </c:pt>
                <c:pt idx="90">
                  <c:v>46080</c:v>
                </c:pt>
                <c:pt idx="91">
                  <c:v>46087</c:v>
                </c:pt>
                <c:pt idx="92">
                  <c:v>46094</c:v>
                </c:pt>
                <c:pt idx="93">
                  <c:v>46101</c:v>
                </c:pt>
                <c:pt idx="94">
                  <c:v>46108</c:v>
                </c:pt>
                <c:pt idx="95">
                  <c:v>46115</c:v>
                </c:pt>
                <c:pt idx="96">
                  <c:v>46122</c:v>
                </c:pt>
                <c:pt idx="97">
                  <c:v>46129</c:v>
                </c:pt>
                <c:pt idx="98">
                  <c:v>46136</c:v>
                </c:pt>
                <c:pt idx="99">
                  <c:v>46143</c:v>
                </c:pt>
                <c:pt idx="100">
                  <c:v>46150</c:v>
                </c:pt>
                <c:pt idx="101">
                  <c:v>46157</c:v>
                </c:pt>
                <c:pt idx="102">
                  <c:v>46164</c:v>
                </c:pt>
                <c:pt idx="103">
                  <c:v>46171</c:v>
                </c:pt>
              </c:numCache>
            </c:numRef>
          </c:cat>
          <c:val>
            <c:numRef>
              <c:f>_DASH_DATA!$E$2:$E$105</c:f>
              <c:numCache>
                <c:formatCode>General</c:formatCode>
                <c:ptCount val="10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2</c:v>
                </c:pt>
                <c:pt idx="38">
                  <c:v>3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3</c:v>
                </c:pt>
                <c:pt idx="45">
                  <c:v>3</c:v>
                </c:pt>
                <c:pt idx="46">
                  <c:v>2</c:v>
                </c:pt>
                <c:pt idx="47">
                  <c:v>3</c:v>
                </c:pt>
                <c:pt idx="48">
                  <c:v>2</c:v>
                </c:pt>
                <c:pt idx="49">
                  <c:v>0</c:v>
                </c:pt>
                <c:pt idx="50">
                  <c:v>2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2</c:v>
                </c:pt>
                <c:pt idx="64">
                  <c:v>0</c:v>
                </c:pt>
                <c:pt idx="65">
                  <c:v>1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2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2</c:v>
                </c:pt>
                <c:pt idx="77">
                  <c:v>1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2</c:v>
                </c:pt>
                <c:pt idx="92">
                  <c:v>2</c:v>
                </c:pt>
                <c:pt idx="93">
                  <c:v>3</c:v>
                </c:pt>
                <c:pt idx="94">
                  <c:v>3</c:v>
                </c:pt>
                <c:pt idx="95">
                  <c:v>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Risk-On / Neutral Boundary</c:v>
          </c:tx>
          <c:spPr>
            <a:ln xmlns:a="http://schemas.openxmlformats.org/drawingml/2006/main" w="15875">
              <a:solidFill>
                <a:schemeClr val="bg2">
                  <a:lumMod val="5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_DASH_DATA!$D$2:$D$105</c:f>
              <c:numCache>
                <c:formatCode>m/d/yyyy</c:formatCode>
                <c:ptCount val="104"/>
                <c:pt idx="0">
                  <c:v>45450</c:v>
                </c:pt>
                <c:pt idx="1">
                  <c:v>45457</c:v>
                </c:pt>
                <c:pt idx="2">
                  <c:v>45464</c:v>
                </c:pt>
                <c:pt idx="3">
                  <c:v>45471</c:v>
                </c:pt>
                <c:pt idx="4">
                  <c:v>45478</c:v>
                </c:pt>
                <c:pt idx="5">
                  <c:v>45485</c:v>
                </c:pt>
                <c:pt idx="6">
                  <c:v>45492</c:v>
                </c:pt>
                <c:pt idx="7">
                  <c:v>45499</c:v>
                </c:pt>
                <c:pt idx="8">
                  <c:v>45506</c:v>
                </c:pt>
                <c:pt idx="9">
                  <c:v>45513</c:v>
                </c:pt>
                <c:pt idx="10">
                  <c:v>45520</c:v>
                </c:pt>
                <c:pt idx="11">
                  <c:v>45527</c:v>
                </c:pt>
                <c:pt idx="12">
                  <c:v>45534</c:v>
                </c:pt>
                <c:pt idx="13">
                  <c:v>45541</c:v>
                </c:pt>
                <c:pt idx="14">
                  <c:v>45548</c:v>
                </c:pt>
                <c:pt idx="15">
                  <c:v>45555</c:v>
                </c:pt>
                <c:pt idx="16">
                  <c:v>45562</c:v>
                </c:pt>
                <c:pt idx="17">
                  <c:v>45569</c:v>
                </c:pt>
                <c:pt idx="18">
                  <c:v>45576</c:v>
                </c:pt>
                <c:pt idx="19">
                  <c:v>45583</c:v>
                </c:pt>
                <c:pt idx="20">
                  <c:v>45590</c:v>
                </c:pt>
                <c:pt idx="21">
                  <c:v>45597</c:v>
                </c:pt>
                <c:pt idx="22">
                  <c:v>45604</c:v>
                </c:pt>
                <c:pt idx="23">
                  <c:v>45611</c:v>
                </c:pt>
                <c:pt idx="24">
                  <c:v>45618</c:v>
                </c:pt>
                <c:pt idx="25">
                  <c:v>45625</c:v>
                </c:pt>
                <c:pt idx="26">
                  <c:v>45632</c:v>
                </c:pt>
                <c:pt idx="27">
                  <c:v>45639</c:v>
                </c:pt>
                <c:pt idx="28">
                  <c:v>45646</c:v>
                </c:pt>
                <c:pt idx="29">
                  <c:v>45653</c:v>
                </c:pt>
                <c:pt idx="30">
                  <c:v>45660</c:v>
                </c:pt>
                <c:pt idx="31">
                  <c:v>45667</c:v>
                </c:pt>
                <c:pt idx="32">
                  <c:v>45674</c:v>
                </c:pt>
                <c:pt idx="33">
                  <c:v>45681</c:v>
                </c:pt>
                <c:pt idx="34">
                  <c:v>45688</c:v>
                </c:pt>
                <c:pt idx="35">
                  <c:v>45695</c:v>
                </c:pt>
                <c:pt idx="36">
                  <c:v>45702</c:v>
                </c:pt>
                <c:pt idx="37">
                  <c:v>45709</c:v>
                </c:pt>
                <c:pt idx="38">
                  <c:v>45716</c:v>
                </c:pt>
                <c:pt idx="39">
                  <c:v>45723</c:v>
                </c:pt>
                <c:pt idx="40">
                  <c:v>45730</c:v>
                </c:pt>
                <c:pt idx="41">
                  <c:v>45737</c:v>
                </c:pt>
                <c:pt idx="42">
                  <c:v>45744</c:v>
                </c:pt>
                <c:pt idx="43">
                  <c:v>45751</c:v>
                </c:pt>
                <c:pt idx="44">
                  <c:v>45758</c:v>
                </c:pt>
                <c:pt idx="45">
                  <c:v>45765</c:v>
                </c:pt>
                <c:pt idx="46">
                  <c:v>45772</c:v>
                </c:pt>
                <c:pt idx="47">
                  <c:v>45779</c:v>
                </c:pt>
                <c:pt idx="48">
                  <c:v>45786</c:v>
                </c:pt>
                <c:pt idx="49">
                  <c:v>45793</c:v>
                </c:pt>
                <c:pt idx="50">
                  <c:v>45800</c:v>
                </c:pt>
                <c:pt idx="51">
                  <c:v>45807</c:v>
                </c:pt>
                <c:pt idx="52">
                  <c:v>45814</c:v>
                </c:pt>
                <c:pt idx="53">
                  <c:v>45821</c:v>
                </c:pt>
                <c:pt idx="54">
                  <c:v>45828</c:v>
                </c:pt>
                <c:pt idx="55">
                  <c:v>45835</c:v>
                </c:pt>
                <c:pt idx="56">
                  <c:v>45842</c:v>
                </c:pt>
                <c:pt idx="57">
                  <c:v>45849</c:v>
                </c:pt>
                <c:pt idx="58">
                  <c:v>45856</c:v>
                </c:pt>
                <c:pt idx="59">
                  <c:v>45863</c:v>
                </c:pt>
                <c:pt idx="60">
                  <c:v>45870</c:v>
                </c:pt>
                <c:pt idx="61">
                  <c:v>45877</c:v>
                </c:pt>
                <c:pt idx="62">
                  <c:v>45884</c:v>
                </c:pt>
                <c:pt idx="63">
                  <c:v>45891</c:v>
                </c:pt>
                <c:pt idx="64">
                  <c:v>45898</c:v>
                </c:pt>
                <c:pt idx="65">
                  <c:v>45905</c:v>
                </c:pt>
                <c:pt idx="66">
                  <c:v>45912</c:v>
                </c:pt>
                <c:pt idx="67">
                  <c:v>45919</c:v>
                </c:pt>
                <c:pt idx="68">
                  <c:v>45926</c:v>
                </c:pt>
                <c:pt idx="69">
                  <c:v>45933</c:v>
                </c:pt>
                <c:pt idx="70">
                  <c:v>45940</c:v>
                </c:pt>
                <c:pt idx="71">
                  <c:v>45947</c:v>
                </c:pt>
                <c:pt idx="72">
                  <c:v>45954</c:v>
                </c:pt>
                <c:pt idx="73">
                  <c:v>45961</c:v>
                </c:pt>
                <c:pt idx="74">
                  <c:v>45968</c:v>
                </c:pt>
                <c:pt idx="75">
                  <c:v>45975</c:v>
                </c:pt>
                <c:pt idx="76">
                  <c:v>45982</c:v>
                </c:pt>
                <c:pt idx="77">
                  <c:v>45989</c:v>
                </c:pt>
                <c:pt idx="78">
                  <c:v>45996</c:v>
                </c:pt>
                <c:pt idx="79">
                  <c:v>46003</c:v>
                </c:pt>
                <c:pt idx="80">
                  <c:v>46010</c:v>
                </c:pt>
                <c:pt idx="81">
                  <c:v>46017</c:v>
                </c:pt>
                <c:pt idx="82">
                  <c:v>46024</c:v>
                </c:pt>
                <c:pt idx="83">
                  <c:v>46031</c:v>
                </c:pt>
                <c:pt idx="84">
                  <c:v>46038</c:v>
                </c:pt>
                <c:pt idx="85">
                  <c:v>46045</c:v>
                </c:pt>
                <c:pt idx="86">
                  <c:v>46052</c:v>
                </c:pt>
                <c:pt idx="87">
                  <c:v>46059</c:v>
                </c:pt>
                <c:pt idx="88">
                  <c:v>46066</c:v>
                </c:pt>
                <c:pt idx="89">
                  <c:v>46073</c:v>
                </c:pt>
                <c:pt idx="90">
                  <c:v>46080</c:v>
                </c:pt>
                <c:pt idx="91">
                  <c:v>46087</c:v>
                </c:pt>
                <c:pt idx="92">
                  <c:v>46094</c:v>
                </c:pt>
                <c:pt idx="93">
                  <c:v>46101</c:v>
                </c:pt>
                <c:pt idx="94">
                  <c:v>46108</c:v>
                </c:pt>
                <c:pt idx="95">
                  <c:v>46115</c:v>
                </c:pt>
                <c:pt idx="96">
                  <c:v>46122</c:v>
                </c:pt>
                <c:pt idx="97">
                  <c:v>46129</c:v>
                </c:pt>
                <c:pt idx="98">
                  <c:v>46136</c:v>
                </c:pt>
                <c:pt idx="99">
                  <c:v>46143</c:v>
                </c:pt>
                <c:pt idx="100">
                  <c:v>46150</c:v>
                </c:pt>
                <c:pt idx="101">
                  <c:v>46157</c:v>
                </c:pt>
                <c:pt idx="102">
                  <c:v>46164</c:v>
                </c:pt>
                <c:pt idx="103">
                  <c:v>46171</c:v>
                </c:pt>
              </c:numCache>
            </c:numRef>
          </c:cat>
          <c:val>
            <c:numRef>
              <c:f>_DASH_DATA!$F$2:$F$105</c:f>
              <c:numCache>
                <c:formatCode>General</c:formatCode>
                <c:ptCount val="104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</c:numCache>
            </c:numRef>
          </c:val>
          <c:smooth val="0"/>
        </c:ser>
        <c:ser>
          <c:idx val="2"/>
          <c:order val="2"/>
          <c:tx>
            <c:v>Neutral / Risk-Off Boundary</c:v>
          </c:tx>
          <c:spPr>
            <a:ln xmlns:a="http://schemas.openxmlformats.org/drawingml/2006/main" w="15875">
              <a:solidFill>
                <a:schemeClr val="bg2">
                  <a:lumMod val="5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_DASH_DATA!$D$2:$D$105</c:f>
              <c:numCache>
                <c:formatCode>m/d/yyyy</c:formatCode>
                <c:ptCount val="104"/>
                <c:pt idx="0">
                  <c:v>45450</c:v>
                </c:pt>
                <c:pt idx="1">
                  <c:v>45457</c:v>
                </c:pt>
                <c:pt idx="2">
                  <c:v>45464</c:v>
                </c:pt>
                <c:pt idx="3">
                  <c:v>45471</c:v>
                </c:pt>
                <c:pt idx="4">
                  <c:v>45478</c:v>
                </c:pt>
                <c:pt idx="5">
                  <c:v>45485</c:v>
                </c:pt>
                <c:pt idx="6">
                  <c:v>45492</c:v>
                </c:pt>
                <c:pt idx="7">
                  <c:v>45499</c:v>
                </c:pt>
                <c:pt idx="8">
                  <c:v>45506</c:v>
                </c:pt>
                <c:pt idx="9">
                  <c:v>45513</c:v>
                </c:pt>
                <c:pt idx="10">
                  <c:v>45520</c:v>
                </c:pt>
                <c:pt idx="11">
                  <c:v>45527</c:v>
                </c:pt>
                <c:pt idx="12">
                  <c:v>45534</c:v>
                </c:pt>
                <c:pt idx="13">
                  <c:v>45541</c:v>
                </c:pt>
                <c:pt idx="14">
                  <c:v>45548</c:v>
                </c:pt>
                <c:pt idx="15">
                  <c:v>45555</c:v>
                </c:pt>
                <c:pt idx="16">
                  <c:v>45562</c:v>
                </c:pt>
                <c:pt idx="17">
                  <c:v>45569</c:v>
                </c:pt>
                <c:pt idx="18">
                  <c:v>45576</c:v>
                </c:pt>
                <c:pt idx="19">
                  <c:v>45583</c:v>
                </c:pt>
                <c:pt idx="20">
                  <c:v>45590</c:v>
                </c:pt>
                <c:pt idx="21">
                  <c:v>45597</c:v>
                </c:pt>
                <c:pt idx="22">
                  <c:v>45604</c:v>
                </c:pt>
                <c:pt idx="23">
                  <c:v>45611</c:v>
                </c:pt>
                <c:pt idx="24">
                  <c:v>45618</c:v>
                </c:pt>
                <c:pt idx="25">
                  <c:v>45625</c:v>
                </c:pt>
                <c:pt idx="26">
                  <c:v>45632</c:v>
                </c:pt>
                <c:pt idx="27">
                  <c:v>45639</c:v>
                </c:pt>
                <c:pt idx="28">
                  <c:v>45646</c:v>
                </c:pt>
                <c:pt idx="29">
                  <c:v>45653</c:v>
                </c:pt>
                <c:pt idx="30">
                  <c:v>45660</c:v>
                </c:pt>
                <c:pt idx="31">
                  <c:v>45667</c:v>
                </c:pt>
                <c:pt idx="32">
                  <c:v>45674</c:v>
                </c:pt>
                <c:pt idx="33">
                  <c:v>45681</c:v>
                </c:pt>
                <c:pt idx="34">
                  <c:v>45688</c:v>
                </c:pt>
                <c:pt idx="35">
                  <c:v>45695</c:v>
                </c:pt>
                <c:pt idx="36">
                  <c:v>45702</c:v>
                </c:pt>
                <c:pt idx="37">
                  <c:v>45709</c:v>
                </c:pt>
                <c:pt idx="38">
                  <c:v>45716</c:v>
                </c:pt>
                <c:pt idx="39">
                  <c:v>45723</c:v>
                </c:pt>
                <c:pt idx="40">
                  <c:v>45730</c:v>
                </c:pt>
                <c:pt idx="41">
                  <c:v>45737</c:v>
                </c:pt>
                <c:pt idx="42">
                  <c:v>45744</c:v>
                </c:pt>
                <c:pt idx="43">
                  <c:v>45751</c:v>
                </c:pt>
                <c:pt idx="44">
                  <c:v>45758</c:v>
                </c:pt>
                <c:pt idx="45">
                  <c:v>45765</c:v>
                </c:pt>
                <c:pt idx="46">
                  <c:v>45772</c:v>
                </c:pt>
                <c:pt idx="47">
                  <c:v>45779</c:v>
                </c:pt>
                <c:pt idx="48">
                  <c:v>45786</c:v>
                </c:pt>
                <c:pt idx="49">
                  <c:v>45793</c:v>
                </c:pt>
                <c:pt idx="50">
                  <c:v>45800</c:v>
                </c:pt>
                <c:pt idx="51">
                  <c:v>45807</c:v>
                </c:pt>
                <c:pt idx="52">
                  <c:v>45814</c:v>
                </c:pt>
                <c:pt idx="53">
                  <c:v>45821</c:v>
                </c:pt>
                <c:pt idx="54">
                  <c:v>45828</c:v>
                </c:pt>
                <c:pt idx="55">
                  <c:v>45835</c:v>
                </c:pt>
                <c:pt idx="56">
                  <c:v>45842</c:v>
                </c:pt>
                <c:pt idx="57">
                  <c:v>45849</c:v>
                </c:pt>
                <c:pt idx="58">
                  <c:v>45856</c:v>
                </c:pt>
                <c:pt idx="59">
                  <c:v>45863</c:v>
                </c:pt>
                <c:pt idx="60">
                  <c:v>45870</c:v>
                </c:pt>
                <c:pt idx="61">
                  <c:v>45877</c:v>
                </c:pt>
                <c:pt idx="62">
                  <c:v>45884</c:v>
                </c:pt>
                <c:pt idx="63">
                  <c:v>45891</c:v>
                </c:pt>
                <c:pt idx="64">
                  <c:v>45898</c:v>
                </c:pt>
                <c:pt idx="65">
                  <c:v>45905</c:v>
                </c:pt>
                <c:pt idx="66">
                  <c:v>45912</c:v>
                </c:pt>
                <c:pt idx="67">
                  <c:v>45919</c:v>
                </c:pt>
                <c:pt idx="68">
                  <c:v>45926</c:v>
                </c:pt>
                <c:pt idx="69">
                  <c:v>45933</c:v>
                </c:pt>
                <c:pt idx="70">
                  <c:v>45940</c:v>
                </c:pt>
                <c:pt idx="71">
                  <c:v>45947</c:v>
                </c:pt>
                <c:pt idx="72">
                  <c:v>45954</c:v>
                </c:pt>
                <c:pt idx="73">
                  <c:v>45961</c:v>
                </c:pt>
                <c:pt idx="74">
                  <c:v>45968</c:v>
                </c:pt>
                <c:pt idx="75">
                  <c:v>45975</c:v>
                </c:pt>
                <c:pt idx="76">
                  <c:v>45982</c:v>
                </c:pt>
                <c:pt idx="77">
                  <c:v>45989</c:v>
                </c:pt>
                <c:pt idx="78">
                  <c:v>45996</c:v>
                </c:pt>
                <c:pt idx="79">
                  <c:v>46003</c:v>
                </c:pt>
                <c:pt idx="80">
                  <c:v>46010</c:v>
                </c:pt>
                <c:pt idx="81">
                  <c:v>46017</c:v>
                </c:pt>
                <c:pt idx="82">
                  <c:v>46024</c:v>
                </c:pt>
                <c:pt idx="83">
                  <c:v>46031</c:v>
                </c:pt>
                <c:pt idx="84">
                  <c:v>46038</c:v>
                </c:pt>
                <c:pt idx="85">
                  <c:v>46045</c:v>
                </c:pt>
                <c:pt idx="86">
                  <c:v>46052</c:v>
                </c:pt>
                <c:pt idx="87">
                  <c:v>46059</c:v>
                </c:pt>
                <c:pt idx="88">
                  <c:v>46066</c:v>
                </c:pt>
                <c:pt idx="89">
                  <c:v>46073</c:v>
                </c:pt>
                <c:pt idx="90">
                  <c:v>46080</c:v>
                </c:pt>
                <c:pt idx="91">
                  <c:v>46087</c:v>
                </c:pt>
                <c:pt idx="92">
                  <c:v>46094</c:v>
                </c:pt>
                <c:pt idx="93">
                  <c:v>46101</c:v>
                </c:pt>
                <c:pt idx="94">
                  <c:v>46108</c:v>
                </c:pt>
                <c:pt idx="95">
                  <c:v>46115</c:v>
                </c:pt>
                <c:pt idx="96">
                  <c:v>46122</c:v>
                </c:pt>
                <c:pt idx="97">
                  <c:v>46129</c:v>
                </c:pt>
                <c:pt idx="98">
                  <c:v>46136</c:v>
                </c:pt>
                <c:pt idx="99">
                  <c:v>46143</c:v>
                </c:pt>
                <c:pt idx="100">
                  <c:v>46150</c:v>
                </c:pt>
                <c:pt idx="101">
                  <c:v>46157</c:v>
                </c:pt>
                <c:pt idx="102">
                  <c:v>46164</c:v>
                </c:pt>
                <c:pt idx="103">
                  <c:v>46171</c:v>
                </c:pt>
              </c:numCache>
            </c:numRef>
          </c:cat>
          <c:val>
            <c:numRef>
              <c:f>_DASH_DATA!$G$2:$G$105</c:f>
              <c:numCache>
                <c:formatCode>General</c:formatCode>
                <c:ptCount val="104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  <c:pt idx="13">
                  <c:v>2.5</c:v>
                </c:pt>
                <c:pt idx="14">
                  <c:v>2.5</c:v>
                </c:pt>
                <c:pt idx="15">
                  <c:v>2.5</c:v>
                </c:pt>
                <c:pt idx="16">
                  <c:v>2.5</c:v>
                </c:pt>
                <c:pt idx="17">
                  <c:v>2.5</c:v>
                </c:pt>
                <c:pt idx="18">
                  <c:v>2.5</c:v>
                </c:pt>
                <c:pt idx="19">
                  <c:v>2.5</c:v>
                </c:pt>
                <c:pt idx="20">
                  <c:v>2.5</c:v>
                </c:pt>
                <c:pt idx="21">
                  <c:v>2.5</c:v>
                </c:pt>
                <c:pt idx="22">
                  <c:v>2.5</c:v>
                </c:pt>
                <c:pt idx="23">
                  <c:v>2.5</c:v>
                </c:pt>
                <c:pt idx="24">
                  <c:v>2.5</c:v>
                </c:pt>
                <c:pt idx="25">
                  <c:v>2.5</c:v>
                </c:pt>
                <c:pt idx="26">
                  <c:v>2.5</c:v>
                </c:pt>
                <c:pt idx="27">
                  <c:v>2.5</c:v>
                </c:pt>
                <c:pt idx="28">
                  <c:v>2.5</c:v>
                </c:pt>
                <c:pt idx="29">
                  <c:v>2.5</c:v>
                </c:pt>
                <c:pt idx="30">
                  <c:v>2.5</c:v>
                </c:pt>
                <c:pt idx="31">
                  <c:v>2.5</c:v>
                </c:pt>
                <c:pt idx="32">
                  <c:v>2.5</c:v>
                </c:pt>
                <c:pt idx="33">
                  <c:v>2.5</c:v>
                </c:pt>
                <c:pt idx="34">
                  <c:v>2.5</c:v>
                </c:pt>
                <c:pt idx="35">
                  <c:v>2.5</c:v>
                </c:pt>
                <c:pt idx="36">
                  <c:v>2.5</c:v>
                </c:pt>
                <c:pt idx="37">
                  <c:v>2.5</c:v>
                </c:pt>
                <c:pt idx="38">
                  <c:v>2.5</c:v>
                </c:pt>
                <c:pt idx="39">
                  <c:v>2.5</c:v>
                </c:pt>
                <c:pt idx="40">
                  <c:v>2.5</c:v>
                </c:pt>
                <c:pt idx="41">
                  <c:v>2.5</c:v>
                </c:pt>
                <c:pt idx="42">
                  <c:v>2.5</c:v>
                </c:pt>
                <c:pt idx="43">
                  <c:v>2.5</c:v>
                </c:pt>
                <c:pt idx="44">
                  <c:v>2.5</c:v>
                </c:pt>
                <c:pt idx="45">
                  <c:v>2.5</c:v>
                </c:pt>
                <c:pt idx="46">
                  <c:v>2.5</c:v>
                </c:pt>
                <c:pt idx="47">
                  <c:v>2.5</c:v>
                </c:pt>
                <c:pt idx="48">
                  <c:v>2.5</c:v>
                </c:pt>
                <c:pt idx="49">
                  <c:v>2.5</c:v>
                </c:pt>
                <c:pt idx="50">
                  <c:v>2.5</c:v>
                </c:pt>
                <c:pt idx="51">
                  <c:v>2.5</c:v>
                </c:pt>
                <c:pt idx="52">
                  <c:v>2.5</c:v>
                </c:pt>
                <c:pt idx="53">
                  <c:v>2.5</c:v>
                </c:pt>
                <c:pt idx="54">
                  <c:v>2.5</c:v>
                </c:pt>
                <c:pt idx="55">
                  <c:v>2.5</c:v>
                </c:pt>
                <c:pt idx="56">
                  <c:v>2.5</c:v>
                </c:pt>
                <c:pt idx="57">
                  <c:v>2.5</c:v>
                </c:pt>
                <c:pt idx="58">
                  <c:v>2.5</c:v>
                </c:pt>
                <c:pt idx="59">
                  <c:v>2.5</c:v>
                </c:pt>
                <c:pt idx="60">
                  <c:v>2.5</c:v>
                </c:pt>
                <c:pt idx="61">
                  <c:v>2.5</c:v>
                </c:pt>
                <c:pt idx="62">
                  <c:v>2.5</c:v>
                </c:pt>
                <c:pt idx="63">
                  <c:v>2.5</c:v>
                </c:pt>
                <c:pt idx="64">
                  <c:v>2.5</c:v>
                </c:pt>
                <c:pt idx="65">
                  <c:v>2.5</c:v>
                </c:pt>
                <c:pt idx="66">
                  <c:v>2.5</c:v>
                </c:pt>
                <c:pt idx="67">
                  <c:v>2.5</c:v>
                </c:pt>
                <c:pt idx="68">
                  <c:v>2.5</c:v>
                </c:pt>
                <c:pt idx="69">
                  <c:v>2.5</c:v>
                </c:pt>
                <c:pt idx="70">
                  <c:v>2.5</c:v>
                </c:pt>
                <c:pt idx="71">
                  <c:v>2.5</c:v>
                </c:pt>
                <c:pt idx="72">
                  <c:v>2.5</c:v>
                </c:pt>
                <c:pt idx="73">
                  <c:v>2.5</c:v>
                </c:pt>
                <c:pt idx="74">
                  <c:v>2.5</c:v>
                </c:pt>
                <c:pt idx="75">
                  <c:v>2.5</c:v>
                </c:pt>
                <c:pt idx="76">
                  <c:v>2.5</c:v>
                </c:pt>
                <c:pt idx="77">
                  <c:v>2.5</c:v>
                </c:pt>
                <c:pt idx="78">
                  <c:v>2.5</c:v>
                </c:pt>
                <c:pt idx="79">
                  <c:v>2.5</c:v>
                </c:pt>
                <c:pt idx="80">
                  <c:v>2.5</c:v>
                </c:pt>
                <c:pt idx="81">
                  <c:v>2.5</c:v>
                </c:pt>
                <c:pt idx="82">
                  <c:v>2.5</c:v>
                </c:pt>
                <c:pt idx="83">
                  <c:v>2.5</c:v>
                </c:pt>
                <c:pt idx="84">
                  <c:v>2.5</c:v>
                </c:pt>
                <c:pt idx="85">
                  <c:v>2.5</c:v>
                </c:pt>
                <c:pt idx="86">
                  <c:v>2.5</c:v>
                </c:pt>
                <c:pt idx="87">
                  <c:v>2.5</c:v>
                </c:pt>
                <c:pt idx="88">
                  <c:v>2.5</c:v>
                </c:pt>
                <c:pt idx="89">
                  <c:v>2.5</c:v>
                </c:pt>
                <c:pt idx="90">
                  <c:v>2.5</c:v>
                </c:pt>
                <c:pt idx="91">
                  <c:v>2.5</c:v>
                </c:pt>
                <c:pt idx="92">
                  <c:v>2.5</c:v>
                </c:pt>
                <c:pt idx="93">
                  <c:v>2.5</c:v>
                </c:pt>
                <c:pt idx="94">
                  <c:v>2.5</c:v>
                </c:pt>
                <c:pt idx="95">
                  <c:v>2.5</c:v>
                </c:pt>
                <c:pt idx="96">
                  <c:v>2.5</c:v>
                </c:pt>
                <c:pt idx="97">
                  <c:v>2.5</c:v>
                </c:pt>
                <c:pt idx="98">
                  <c:v>2.5</c:v>
                </c:pt>
                <c:pt idx="99">
                  <c:v>2.5</c:v>
                </c:pt>
                <c:pt idx="100">
                  <c:v>2.5</c:v>
                </c:pt>
                <c:pt idx="101">
                  <c:v>2.5</c:v>
                </c:pt>
                <c:pt idx="102">
                  <c:v>2.5</c:v>
                </c:pt>
                <c:pt idx="103">
                  <c:v>2.5</c:v>
                </c:pt>
              </c:numCache>
            </c:numRef>
          </c:val>
          <c:smooth val="0"/>
        </c:ser>
        <c:ser>
          <c:idx val="3"/>
          <c:order val="3"/>
          <c:tx>
            <c:v>Latest Observation</c:v>
          </c:tx>
          <c:spPr>
            <a:ln xmlns:a="http://schemas.openxmlformats.org/drawingml/2006/main" w="28575">
              <a:solidFill>
                <a:schemeClr val="accent4"/>
              </a:solidFill>
              <a:prstDash val="solid"/>
            </a:ln>
          </c:spPr>
          <c:marker>
            <c:symbol val="diamond"/>
            <c:size val="7"/>
          </c:marker>
          <c:cat>
            <c:numRef>
              <c:f>_DASH_DATA!$D$2:$D$105</c:f>
              <c:numCache>
                <c:formatCode>m/d/yyyy</c:formatCode>
                <c:ptCount val="104"/>
                <c:pt idx="0">
                  <c:v>45450</c:v>
                </c:pt>
                <c:pt idx="1">
                  <c:v>45457</c:v>
                </c:pt>
                <c:pt idx="2">
                  <c:v>45464</c:v>
                </c:pt>
                <c:pt idx="3">
                  <c:v>45471</c:v>
                </c:pt>
                <c:pt idx="4">
                  <c:v>45478</c:v>
                </c:pt>
                <c:pt idx="5">
                  <c:v>45485</c:v>
                </c:pt>
                <c:pt idx="6">
                  <c:v>45492</c:v>
                </c:pt>
                <c:pt idx="7">
                  <c:v>45499</c:v>
                </c:pt>
                <c:pt idx="8">
                  <c:v>45506</c:v>
                </c:pt>
                <c:pt idx="9">
                  <c:v>45513</c:v>
                </c:pt>
                <c:pt idx="10">
                  <c:v>45520</c:v>
                </c:pt>
                <c:pt idx="11">
                  <c:v>45527</c:v>
                </c:pt>
                <c:pt idx="12">
                  <c:v>45534</c:v>
                </c:pt>
                <c:pt idx="13">
                  <c:v>45541</c:v>
                </c:pt>
                <c:pt idx="14">
                  <c:v>45548</c:v>
                </c:pt>
                <c:pt idx="15">
                  <c:v>45555</c:v>
                </c:pt>
                <c:pt idx="16">
                  <c:v>45562</c:v>
                </c:pt>
                <c:pt idx="17">
                  <c:v>45569</c:v>
                </c:pt>
                <c:pt idx="18">
                  <c:v>45576</c:v>
                </c:pt>
                <c:pt idx="19">
                  <c:v>45583</c:v>
                </c:pt>
                <c:pt idx="20">
                  <c:v>45590</c:v>
                </c:pt>
                <c:pt idx="21">
                  <c:v>45597</c:v>
                </c:pt>
                <c:pt idx="22">
                  <c:v>45604</c:v>
                </c:pt>
                <c:pt idx="23">
                  <c:v>45611</c:v>
                </c:pt>
                <c:pt idx="24">
                  <c:v>45618</c:v>
                </c:pt>
                <c:pt idx="25">
                  <c:v>45625</c:v>
                </c:pt>
                <c:pt idx="26">
                  <c:v>45632</c:v>
                </c:pt>
                <c:pt idx="27">
                  <c:v>45639</c:v>
                </c:pt>
                <c:pt idx="28">
                  <c:v>45646</c:v>
                </c:pt>
                <c:pt idx="29">
                  <c:v>45653</c:v>
                </c:pt>
                <c:pt idx="30">
                  <c:v>45660</c:v>
                </c:pt>
                <c:pt idx="31">
                  <c:v>45667</c:v>
                </c:pt>
                <c:pt idx="32">
                  <c:v>45674</c:v>
                </c:pt>
                <c:pt idx="33">
                  <c:v>45681</c:v>
                </c:pt>
                <c:pt idx="34">
                  <c:v>45688</c:v>
                </c:pt>
                <c:pt idx="35">
                  <c:v>45695</c:v>
                </c:pt>
                <c:pt idx="36">
                  <c:v>45702</c:v>
                </c:pt>
                <c:pt idx="37">
                  <c:v>45709</c:v>
                </c:pt>
                <c:pt idx="38">
                  <c:v>45716</c:v>
                </c:pt>
                <c:pt idx="39">
                  <c:v>45723</c:v>
                </c:pt>
                <c:pt idx="40">
                  <c:v>45730</c:v>
                </c:pt>
                <c:pt idx="41">
                  <c:v>45737</c:v>
                </c:pt>
                <c:pt idx="42">
                  <c:v>45744</c:v>
                </c:pt>
                <c:pt idx="43">
                  <c:v>45751</c:v>
                </c:pt>
                <c:pt idx="44">
                  <c:v>45758</c:v>
                </c:pt>
                <c:pt idx="45">
                  <c:v>45765</c:v>
                </c:pt>
                <c:pt idx="46">
                  <c:v>45772</c:v>
                </c:pt>
                <c:pt idx="47">
                  <c:v>45779</c:v>
                </c:pt>
                <c:pt idx="48">
                  <c:v>45786</c:v>
                </c:pt>
                <c:pt idx="49">
                  <c:v>45793</c:v>
                </c:pt>
                <c:pt idx="50">
                  <c:v>45800</c:v>
                </c:pt>
                <c:pt idx="51">
                  <c:v>45807</c:v>
                </c:pt>
                <c:pt idx="52">
                  <c:v>45814</c:v>
                </c:pt>
                <c:pt idx="53">
                  <c:v>45821</c:v>
                </c:pt>
                <c:pt idx="54">
                  <c:v>45828</c:v>
                </c:pt>
                <c:pt idx="55">
                  <c:v>45835</c:v>
                </c:pt>
                <c:pt idx="56">
                  <c:v>45842</c:v>
                </c:pt>
                <c:pt idx="57">
                  <c:v>45849</c:v>
                </c:pt>
                <c:pt idx="58">
                  <c:v>45856</c:v>
                </c:pt>
                <c:pt idx="59">
                  <c:v>45863</c:v>
                </c:pt>
                <c:pt idx="60">
                  <c:v>45870</c:v>
                </c:pt>
                <c:pt idx="61">
                  <c:v>45877</c:v>
                </c:pt>
                <c:pt idx="62">
                  <c:v>45884</c:v>
                </c:pt>
                <c:pt idx="63">
                  <c:v>45891</c:v>
                </c:pt>
                <c:pt idx="64">
                  <c:v>45898</c:v>
                </c:pt>
                <c:pt idx="65">
                  <c:v>45905</c:v>
                </c:pt>
                <c:pt idx="66">
                  <c:v>45912</c:v>
                </c:pt>
                <c:pt idx="67">
                  <c:v>45919</c:v>
                </c:pt>
                <c:pt idx="68">
                  <c:v>45926</c:v>
                </c:pt>
                <c:pt idx="69">
                  <c:v>45933</c:v>
                </c:pt>
                <c:pt idx="70">
                  <c:v>45940</c:v>
                </c:pt>
                <c:pt idx="71">
                  <c:v>45947</c:v>
                </c:pt>
                <c:pt idx="72">
                  <c:v>45954</c:v>
                </c:pt>
                <c:pt idx="73">
                  <c:v>45961</c:v>
                </c:pt>
                <c:pt idx="74">
                  <c:v>45968</c:v>
                </c:pt>
                <c:pt idx="75">
                  <c:v>45975</c:v>
                </c:pt>
                <c:pt idx="76">
                  <c:v>45982</c:v>
                </c:pt>
                <c:pt idx="77">
                  <c:v>45989</c:v>
                </c:pt>
                <c:pt idx="78">
                  <c:v>45996</c:v>
                </c:pt>
                <c:pt idx="79">
                  <c:v>46003</c:v>
                </c:pt>
                <c:pt idx="80">
                  <c:v>46010</c:v>
                </c:pt>
                <c:pt idx="81">
                  <c:v>46017</c:v>
                </c:pt>
                <c:pt idx="82">
                  <c:v>46024</c:v>
                </c:pt>
                <c:pt idx="83">
                  <c:v>46031</c:v>
                </c:pt>
                <c:pt idx="84">
                  <c:v>46038</c:v>
                </c:pt>
                <c:pt idx="85">
                  <c:v>46045</c:v>
                </c:pt>
                <c:pt idx="86">
                  <c:v>46052</c:v>
                </c:pt>
                <c:pt idx="87">
                  <c:v>46059</c:v>
                </c:pt>
                <c:pt idx="88">
                  <c:v>46066</c:v>
                </c:pt>
                <c:pt idx="89">
                  <c:v>46073</c:v>
                </c:pt>
                <c:pt idx="90">
                  <c:v>46080</c:v>
                </c:pt>
                <c:pt idx="91">
                  <c:v>46087</c:v>
                </c:pt>
                <c:pt idx="92">
                  <c:v>46094</c:v>
                </c:pt>
                <c:pt idx="93">
                  <c:v>46101</c:v>
                </c:pt>
                <c:pt idx="94">
                  <c:v>46108</c:v>
                </c:pt>
                <c:pt idx="95">
                  <c:v>46115</c:v>
                </c:pt>
                <c:pt idx="96">
                  <c:v>46122</c:v>
                </c:pt>
                <c:pt idx="97">
                  <c:v>46129</c:v>
                </c:pt>
                <c:pt idx="98">
                  <c:v>46136</c:v>
                </c:pt>
                <c:pt idx="99">
                  <c:v>46143</c:v>
                </c:pt>
                <c:pt idx="100">
                  <c:v>46150</c:v>
                </c:pt>
                <c:pt idx="101">
                  <c:v>46157</c:v>
                </c:pt>
                <c:pt idx="102">
                  <c:v>46164</c:v>
                </c:pt>
                <c:pt idx="103">
                  <c:v>46171</c:v>
                </c:pt>
              </c:numCache>
            </c:numRef>
          </c:cat>
          <c:val>
            <c:numRef>
              <c:f>_DASH_DATA!$H$2:$H$105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  <a:prstDash val="solid"/>
          </a:ln>
        </c:spPr>
        <c:txPr>
          <a:bodyPr xmlns:a="http://schemas.openxmlformats.org/drawingml/2006/main" rot="-2700000" anchor="ctr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4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  <a:prstDash val="solid"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1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Rates &amp; Inflation Regime Timeline (Last 2Y)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400" b="1" i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Rates &amp; Inflation Regime</c:v>
          </c:tx>
          <c:spPr>
            <a:ln xmlns:a="http://schemas.openxmlformats.org/drawingml/2006/main" w="25400">
              <a:solidFill>
                <a:srgbClr val="002060"/>
              </a:solidFill>
              <a:prstDash val="solid"/>
            </a:ln>
          </c:spPr>
          <c:marker>
            <c:symbol val="none"/>
          </c:marker>
          <c:cat>
            <c:numRef>
              <c:f>_DASH_DATA!$K$2:$K$105</c:f>
              <c:numCache>
                <c:formatCode>m/yyyy</c:formatCode>
                <c:ptCount val="104"/>
                <c:pt idx="0">
                  <c:v>45450</c:v>
                </c:pt>
                <c:pt idx="1">
                  <c:v>45457</c:v>
                </c:pt>
                <c:pt idx="2">
                  <c:v>45464</c:v>
                </c:pt>
                <c:pt idx="3">
                  <c:v>45471</c:v>
                </c:pt>
                <c:pt idx="4">
                  <c:v>45478</c:v>
                </c:pt>
                <c:pt idx="5">
                  <c:v>45485</c:v>
                </c:pt>
                <c:pt idx="6">
                  <c:v>45492</c:v>
                </c:pt>
                <c:pt idx="7">
                  <c:v>45499</c:v>
                </c:pt>
                <c:pt idx="8">
                  <c:v>45506</c:v>
                </c:pt>
                <c:pt idx="9">
                  <c:v>45513</c:v>
                </c:pt>
                <c:pt idx="10">
                  <c:v>45520</c:v>
                </c:pt>
                <c:pt idx="11">
                  <c:v>45527</c:v>
                </c:pt>
                <c:pt idx="12">
                  <c:v>45534</c:v>
                </c:pt>
                <c:pt idx="13">
                  <c:v>45541</c:v>
                </c:pt>
                <c:pt idx="14">
                  <c:v>45548</c:v>
                </c:pt>
                <c:pt idx="15">
                  <c:v>45555</c:v>
                </c:pt>
                <c:pt idx="16">
                  <c:v>45562</c:v>
                </c:pt>
                <c:pt idx="17">
                  <c:v>45569</c:v>
                </c:pt>
                <c:pt idx="18">
                  <c:v>45576</c:v>
                </c:pt>
                <c:pt idx="19">
                  <c:v>45583</c:v>
                </c:pt>
                <c:pt idx="20">
                  <c:v>45590</c:v>
                </c:pt>
                <c:pt idx="21">
                  <c:v>45597</c:v>
                </c:pt>
                <c:pt idx="22">
                  <c:v>45604</c:v>
                </c:pt>
                <c:pt idx="23">
                  <c:v>45611</c:v>
                </c:pt>
                <c:pt idx="24">
                  <c:v>45618</c:v>
                </c:pt>
                <c:pt idx="25">
                  <c:v>45625</c:v>
                </c:pt>
                <c:pt idx="26">
                  <c:v>45632</c:v>
                </c:pt>
                <c:pt idx="27">
                  <c:v>45639</c:v>
                </c:pt>
                <c:pt idx="28">
                  <c:v>45646</c:v>
                </c:pt>
                <c:pt idx="29">
                  <c:v>45653</c:v>
                </c:pt>
                <c:pt idx="30">
                  <c:v>45660</c:v>
                </c:pt>
                <c:pt idx="31">
                  <c:v>45667</c:v>
                </c:pt>
                <c:pt idx="32">
                  <c:v>45674</c:v>
                </c:pt>
                <c:pt idx="33">
                  <c:v>45681</c:v>
                </c:pt>
                <c:pt idx="34">
                  <c:v>45688</c:v>
                </c:pt>
                <c:pt idx="35">
                  <c:v>45695</c:v>
                </c:pt>
                <c:pt idx="36">
                  <c:v>45702</c:v>
                </c:pt>
                <c:pt idx="37">
                  <c:v>45709</c:v>
                </c:pt>
                <c:pt idx="38">
                  <c:v>45716</c:v>
                </c:pt>
                <c:pt idx="39">
                  <c:v>45723</c:v>
                </c:pt>
                <c:pt idx="40">
                  <c:v>45730</c:v>
                </c:pt>
                <c:pt idx="41">
                  <c:v>45737</c:v>
                </c:pt>
                <c:pt idx="42">
                  <c:v>45744</c:v>
                </c:pt>
                <c:pt idx="43">
                  <c:v>45751</c:v>
                </c:pt>
                <c:pt idx="44">
                  <c:v>45758</c:v>
                </c:pt>
                <c:pt idx="45">
                  <c:v>45765</c:v>
                </c:pt>
                <c:pt idx="46">
                  <c:v>45772</c:v>
                </c:pt>
                <c:pt idx="47">
                  <c:v>45779</c:v>
                </c:pt>
                <c:pt idx="48">
                  <c:v>45786</c:v>
                </c:pt>
                <c:pt idx="49">
                  <c:v>45793</c:v>
                </c:pt>
                <c:pt idx="50">
                  <c:v>45800</c:v>
                </c:pt>
                <c:pt idx="51">
                  <c:v>45807</c:v>
                </c:pt>
                <c:pt idx="52">
                  <c:v>45814</c:v>
                </c:pt>
                <c:pt idx="53">
                  <c:v>45821</c:v>
                </c:pt>
                <c:pt idx="54">
                  <c:v>45828</c:v>
                </c:pt>
                <c:pt idx="55">
                  <c:v>45835</c:v>
                </c:pt>
                <c:pt idx="56">
                  <c:v>45842</c:v>
                </c:pt>
                <c:pt idx="57">
                  <c:v>45849</c:v>
                </c:pt>
                <c:pt idx="58">
                  <c:v>45856</c:v>
                </c:pt>
                <c:pt idx="59">
                  <c:v>45863</c:v>
                </c:pt>
                <c:pt idx="60">
                  <c:v>45870</c:v>
                </c:pt>
                <c:pt idx="61">
                  <c:v>45877</c:v>
                </c:pt>
                <c:pt idx="62">
                  <c:v>45884</c:v>
                </c:pt>
                <c:pt idx="63">
                  <c:v>45891</c:v>
                </c:pt>
                <c:pt idx="64">
                  <c:v>45898</c:v>
                </c:pt>
                <c:pt idx="65">
                  <c:v>45905</c:v>
                </c:pt>
                <c:pt idx="66">
                  <c:v>45912</c:v>
                </c:pt>
                <c:pt idx="67">
                  <c:v>45919</c:v>
                </c:pt>
                <c:pt idx="68">
                  <c:v>45926</c:v>
                </c:pt>
                <c:pt idx="69">
                  <c:v>45933</c:v>
                </c:pt>
                <c:pt idx="70">
                  <c:v>45940</c:v>
                </c:pt>
                <c:pt idx="71">
                  <c:v>45947</c:v>
                </c:pt>
                <c:pt idx="72">
                  <c:v>45954</c:v>
                </c:pt>
                <c:pt idx="73">
                  <c:v>45961</c:v>
                </c:pt>
                <c:pt idx="74">
                  <c:v>45968</c:v>
                </c:pt>
                <c:pt idx="75">
                  <c:v>45975</c:v>
                </c:pt>
                <c:pt idx="76">
                  <c:v>45982</c:v>
                </c:pt>
                <c:pt idx="77">
                  <c:v>45989</c:v>
                </c:pt>
                <c:pt idx="78">
                  <c:v>45996</c:v>
                </c:pt>
                <c:pt idx="79">
                  <c:v>46003</c:v>
                </c:pt>
                <c:pt idx="80">
                  <c:v>46010</c:v>
                </c:pt>
                <c:pt idx="81">
                  <c:v>46017</c:v>
                </c:pt>
                <c:pt idx="82">
                  <c:v>46024</c:v>
                </c:pt>
                <c:pt idx="83">
                  <c:v>46031</c:v>
                </c:pt>
                <c:pt idx="84">
                  <c:v>46038</c:v>
                </c:pt>
                <c:pt idx="85">
                  <c:v>46045</c:v>
                </c:pt>
                <c:pt idx="86">
                  <c:v>46052</c:v>
                </c:pt>
                <c:pt idx="87">
                  <c:v>46059</c:v>
                </c:pt>
                <c:pt idx="88">
                  <c:v>46066</c:v>
                </c:pt>
                <c:pt idx="89">
                  <c:v>46073</c:v>
                </c:pt>
                <c:pt idx="90">
                  <c:v>46080</c:v>
                </c:pt>
                <c:pt idx="91">
                  <c:v>46087</c:v>
                </c:pt>
                <c:pt idx="92">
                  <c:v>46094</c:v>
                </c:pt>
                <c:pt idx="93">
                  <c:v>46101</c:v>
                </c:pt>
                <c:pt idx="94">
                  <c:v>46108</c:v>
                </c:pt>
                <c:pt idx="95">
                  <c:v>46115</c:v>
                </c:pt>
                <c:pt idx="96">
                  <c:v>46122</c:v>
                </c:pt>
                <c:pt idx="97">
                  <c:v>46129</c:v>
                </c:pt>
                <c:pt idx="98">
                  <c:v>46136</c:v>
                </c:pt>
                <c:pt idx="99">
                  <c:v>46143</c:v>
                </c:pt>
                <c:pt idx="100">
                  <c:v>46150</c:v>
                </c:pt>
                <c:pt idx="101">
                  <c:v>46157</c:v>
                </c:pt>
                <c:pt idx="102">
                  <c:v>46164</c:v>
                </c:pt>
                <c:pt idx="103">
                  <c:v>46171</c:v>
                </c:pt>
              </c:numCache>
            </c:numRef>
          </c:cat>
          <c:val>
            <c:numRef>
              <c:f>_DASH_DATA!$L$2:$L$105</c:f>
              <c:numCache>
                <c:formatCode>General</c:formatCode>
                <c:ptCount val="104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1</c:v>
                </c:pt>
                <c:pt idx="13">
                  <c:v>4</c:v>
                </c:pt>
                <c:pt idx="14">
                  <c:v>4</c:v>
                </c:pt>
                <c:pt idx="15">
                  <c:v>3</c:v>
                </c:pt>
                <c:pt idx="16">
                  <c:v>4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2</c:v>
                </c:pt>
                <c:pt idx="43">
                  <c:v>4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1</c:v>
                </c:pt>
                <c:pt idx="48">
                  <c:v>3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3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4</c:v>
                </c:pt>
                <c:pt idx="61">
                  <c:v>3</c:v>
                </c:pt>
                <c:pt idx="62">
                  <c:v>4</c:v>
                </c:pt>
                <c:pt idx="63">
                  <c:v>3</c:v>
                </c:pt>
                <c:pt idx="64">
                  <c:v>3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2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2</c:v>
                </c:pt>
                <c:pt idx="75">
                  <c:v>1</c:v>
                </c:pt>
                <c:pt idx="76">
                  <c:v>2</c:v>
                </c:pt>
                <c:pt idx="77">
                  <c:v>4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3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3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2</c:v>
                </c:pt>
                <c:pt idx="97">
                  <c:v>4</c:v>
                </c:pt>
                <c:pt idx="98">
                  <c:v>3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2</c:v>
                </c:pt>
              </c:numCache>
            </c:numRef>
          </c:val>
          <c:smooth val="0"/>
        </c:ser>
        <c:ser>
          <c:idx val="1"/>
          <c:order val="1"/>
          <c:tx>
            <c:v>Latest Observation</c:v>
          </c:tx>
          <c:spPr>
            <a:ln xmlns:a="http://schemas.openxmlformats.org/drawingml/2006/main" w="28575">
              <a:solidFill>
                <a:schemeClr val="accent2"/>
              </a:solidFill>
              <a:prstDash val="solid"/>
            </a:ln>
          </c:spPr>
          <c:marker>
            <c:symbol val="diamond"/>
            <c:size val="7"/>
          </c:marker>
          <c:cat>
            <c:numRef>
              <c:f>_DASH_DATA!$K$2:$K$105</c:f>
              <c:numCache>
                <c:formatCode>m/yyyy</c:formatCode>
                <c:ptCount val="104"/>
                <c:pt idx="0">
                  <c:v>45450</c:v>
                </c:pt>
                <c:pt idx="1">
                  <c:v>45457</c:v>
                </c:pt>
                <c:pt idx="2">
                  <c:v>45464</c:v>
                </c:pt>
                <c:pt idx="3">
                  <c:v>45471</c:v>
                </c:pt>
                <c:pt idx="4">
                  <c:v>45478</c:v>
                </c:pt>
                <c:pt idx="5">
                  <c:v>45485</c:v>
                </c:pt>
                <c:pt idx="6">
                  <c:v>45492</c:v>
                </c:pt>
                <c:pt idx="7">
                  <c:v>45499</c:v>
                </c:pt>
                <c:pt idx="8">
                  <c:v>45506</c:v>
                </c:pt>
                <c:pt idx="9">
                  <c:v>45513</c:v>
                </c:pt>
                <c:pt idx="10">
                  <c:v>45520</c:v>
                </c:pt>
                <c:pt idx="11">
                  <c:v>45527</c:v>
                </c:pt>
                <c:pt idx="12">
                  <c:v>45534</c:v>
                </c:pt>
                <c:pt idx="13">
                  <c:v>45541</c:v>
                </c:pt>
                <c:pt idx="14">
                  <c:v>45548</c:v>
                </c:pt>
                <c:pt idx="15">
                  <c:v>45555</c:v>
                </c:pt>
                <c:pt idx="16">
                  <c:v>45562</c:v>
                </c:pt>
                <c:pt idx="17">
                  <c:v>45569</c:v>
                </c:pt>
                <c:pt idx="18">
                  <c:v>45576</c:v>
                </c:pt>
                <c:pt idx="19">
                  <c:v>45583</c:v>
                </c:pt>
                <c:pt idx="20">
                  <c:v>45590</c:v>
                </c:pt>
                <c:pt idx="21">
                  <c:v>45597</c:v>
                </c:pt>
                <c:pt idx="22">
                  <c:v>45604</c:v>
                </c:pt>
                <c:pt idx="23">
                  <c:v>45611</c:v>
                </c:pt>
                <c:pt idx="24">
                  <c:v>45618</c:v>
                </c:pt>
                <c:pt idx="25">
                  <c:v>45625</c:v>
                </c:pt>
                <c:pt idx="26">
                  <c:v>45632</c:v>
                </c:pt>
                <c:pt idx="27">
                  <c:v>45639</c:v>
                </c:pt>
                <c:pt idx="28">
                  <c:v>45646</c:v>
                </c:pt>
                <c:pt idx="29">
                  <c:v>45653</c:v>
                </c:pt>
                <c:pt idx="30">
                  <c:v>45660</c:v>
                </c:pt>
                <c:pt idx="31">
                  <c:v>45667</c:v>
                </c:pt>
                <c:pt idx="32">
                  <c:v>45674</c:v>
                </c:pt>
                <c:pt idx="33">
                  <c:v>45681</c:v>
                </c:pt>
                <c:pt idx="34">
                  <c:v>45688</c:v>
                </c:pt>
                <c:pt idx="35">
                  <c:v>45695</c:v>
                </c:pt>
                <c:pt idx="36">
                  <c:v>45702</c:v>
                </c:pt>
                <c:pt idx="37">
                  <c:v>45709</c:v>
                </c:pt>
                <c:pt idx="38">
                  <c:v>45716</c:v>
                </c:pt>
                <c:pt idx="39">
                  <c:v>45723</c:v>
                </c:pt>
                <c:pt idx="40">
                  <c:v>45730</c:v>
                </c:pt>
                <c:pt idx="41">
                  <c:v>45737</c:v>
                </c:pt>
                <c:pt idx="42">
                  <c:v>45744</c:v>
                </c:pt>
                <c:pt idx="43">
                  <c:v>45751</c:v>
                </c:pt>
                <c:pt idx="44">
                  <c:v>45758</c:v>
                </c:pt>
                <c:pt idx="45">
                  <c:v>45765</c:v>
                </c:pt>
                <c:pt idx="46">
                  <c:v>45772</c:v>
                </c:pt>
                <c:pt idx="47">
                  <c:v>45779</c:v>
                </c:pt>
                <c:pt idx="48">
                  <c:v>45786</c:v>
                </c:pt>
                <c:pt idx="49">
                  <c:v>45793</c:v>
                </c:pt>
                <c:pt idx="50">
                  <c:v>45800</c:v>
                </c:pt>
                <c:pt idx="51">
                  <c:v>45807</c:v>
                </c:pt>
                <c:pt idx="52">
                  <c:v>45814</c:v>
                </c:pt>
                <c:pt idx="53">
                  <c:v>45821</c:v>
                </c:pt>
                <c:pt idx="54">
                  <c:v>45828</c:v>
                </c:pt>
                <c:pt idx="55">
                  <c:v>45835</c:v>
                </c:pt>
                <c:pt idx="56">
                  <c:v>45842</c:v>
                </c:pt>
                <c:pt idx="57">
                  <c:v>45849</c:v>
                </c:pt>
                <c:pt idx="58">
                  <c:v>45856</c:v>
                </c:pt>
                <c:pt idx="59">
                  <c:v>45863</c:v>
                </c:pt>
                <c:pt idx="60">
                  <c:v>45870</c:v>
                </c:pt>
                <c:pt idx="61">
                  <c:v>45877</c:v>
                </c:pt>
                <c:pt idx="62">
                  <c:v>45884</c:v>
                </c:pt>
                <c:pt idx="63">
                  <c:v>45891</c:v>
                </c:pt>
                <c:pt idx="64">
                  <c:v>45898</c:v>
                </c:pt>
                <c:pt idx="65">
                  <c:v>45905</c:v>
                </c:pt>
                <c:pt idx="66">
                  <c:v>45912</c:v>
                </c:pt>
                <c:pt idx="67">
                  <c:v>45919</c:v>
                </c:pt>
                <c:pt idx="68">
                  <c:v>45926</c:v>
                </c:pt>
                <c:pt idx="69">
                  <c:v>45933</c:v>
                </c:pt>
                <c:pt idx="70">
                  <c:v>45940</c:v>
                </c:pt>
                <c:pt idx="71">
                  <c:v>45947</c:v>
                </c:pt>
                <c:pt idx="72">
                  <c:v>45954</c:v>
                </c:pt>
                <c:pt idx="73">
                  <c:v>45961</c:v>
                </c:pt>
                <c:pt idx="74">
                  <c:v>45968</c:v>
                </c:pt>
                <c:pt idx="75">
                  <c:v>45975</c:v>
                </c:pt>
                <c:pt idx="76">
                  <c:v>45982</c:v>
                </c:pt>
                <c:pt idx="77">
                  <c:v>45989</c:v>
                </c:pt>
                <c:pt idx="78">
                  <c:v>45996</c:v>
                </c:pt>
                <c:pt idx="79">
                  <c:v>46003</c:v>
                </c:pt>
                <c:pt idx="80">
                  <c:v>46010</c:v>
                </c:pt>
                <c:pt idx="81">
                  <c:v>46017</c:v>
                </c:pt>
                <c:pt idx="82">
                  <c:v>46024</c:v>
                </c:pt>
                <c:pt idx="83">
                  <c:v>46031</c:v>
                </c:pt>
                <c:pt idx="84">
                  <c:v>46038</c:v>
                </c:pt>
                <c:pt idx="85">
                  <c:v>46045</c:v>
                </c:pt>
                <c:pt idx="86">
                  <c:v>46052</c:v>
                </c:pt>
                <c:pt idx="87">
                  <c:v>46059</c:v>
                </c:pt>
                <c:pt idx="88">
                  <c:v>46066</c:v>
                </c:pt>
                <c:pt idx="89">
                  <c:v>46073</c:v>
                </c:pt>
                <c:pt idx="90">
                  <c:v>46080</c:v>
                </c:pt>
                <c:pt idx="91">
                  <c:v>46087</c:v>
                </c:pt>
                <c:pt idx="92">
                  <c:v>46094</c:v>
                </c:pt>
                <c:pt idx="93">
                  <c:v>46101</c:v>
                </c:pt>
                <c:pt idx="94">
                  <c:v>46108</c:v>
                </c:pt>
                <c:pt idx="95">
                  <c:v>46115</c:v>
                </c:pt>
                <c:pt idx="96">
                  <c:v>46122</c:v>
                </c:pt>
                <c:pt idx="97">
                  <c:v>46129</c:v>
                </c:pt>
                <c:pt idx="98">
                  <c:v>46136</c:v>
                </c:pt>
                <c:pt idx="99">
                  <c:v>46143</c:v>
                </c:pt>
                <c:pt idx="100">
                  <c:v>46150</c:v>
                </c:pt>
                <c:pt idx="101">
                  <c:v>46157</c:v>
                </c:pt>
                <c:pt idx="102">
                  <c:v>46164</c:v>
                </c:pt>
                <c:pt idx="103">
                  <c:v>46171</c:v>
                </c:pt>
              </c:numCache>
            </c:numRef>
          </c:cat>
          <c:val>
            <c:numRef>
              <c:f>_DASH_DATA!$M$2:$M$105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m/yyyy" sourceLinked="0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  <a:prstDash val="solid"/>
          </a:ln>
        </c:spPr>
        <c:txPr>
          <a:bodyPr xmlns:a="http://schemas.openxmlformats.org/drawingml/2006/main" rot="-2700000" anchor="ctr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4"/>
          <c:min val="1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Regime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  <a:prstDash val="solid"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1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10Y–2Y Yield Curve Slope (Last 5Y)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400" b="1" i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10Y–2Y Curve Slope</c:v>
          </c:tx>
          <c:spPr>
            <a:ln xmlns:a="http://schemas.openxmlformats.org/drawingml/2006/main" w="25400">
              <a:solidFill>
                <a:srgbClr val="002060"/>
              </a:solidFill>
              <a:prstDash val="solid"/>
            </a:ln>
          </c:spPr>
          <c:marker>
            <c:symbol val="none"/>
          </c:marker>
          <c:cat>
            <c:numRef>
              <c:f>_DASH_DATA!$AL$2:$AL$261</c:f>
              <c:numCache>
                <c:formatCode>m/yyyy</c:formatCode>
                <c:ptCount val="260"/>
                <c:pt idx="0">
                  <c:v>44358</c:v>
                </c:pt>
                <c:pt idx="1">
                  <c:v>44365</c:v>
                </c:pt>
                <c:pt idx="2">
                  <c:v>44372</c:v>
                </c:pt>
                <c:pt idx="3">
                  <c:v>44379</c:v>
                </c:pt>
                <c:pt idx="4">
                  <c:v>44386</c:v>
                </c:pt>
                <c:pt idx="5">
                  <c:v>44393</c:v>
                </c:pt>
                <c:pt idx="6">
                  <c:v>44400</c:v>
                </c:pt>
                <c:pt idx="7">
                  <c:v>44407</c:v>
                </c:pt>
                <c:pt idx="8">
                  <c:v>44414</c:v>
                </c:pt>
                <c:pt idx="9">
                  <c:v>44421</c:v>
                </c:pt>
                <c:pt idx="10">
                  <c:v>44428</c:v>
                </c:pt>
                <c:pt idx="11">
                  <c:v>44435</c:v>
                </c:pt>
                <c:pt idx="12">
                  <c:v>44442</c:v>
                </c:pt>
                <c:pt idx="13">
                  <c:v>44449</c:v>
                </c:pt>
                <c:pt idx="14">
                  <c:v>44456</c:v>
                </c:pt>
                <c:pt idx="15">
                  <c:v>44463</c:v>
                </c:pt>
                <c:pt idx="16">
                  <c:v>44470</c:v>
                </c:pt>
                <c:pt idx="17">
                  <c:v>44477</c:v>
                </c:pt>
                <c:pt idx="18">
                  <c:v>44484</c:v>
                </c:pt>
                <c:pt idx="19">
                  <c:v>44491</c:v>
                </c:pt>
                <c:pt idx="20">
                  <c:v>44498</c:v>
                </c:pt>
                <c:pt idx="21">
                  <c:v>44505</c:v>
                </c:pt>
                <c:pt idx="22">
                  <c:v>44512</c:v>
                </c:pt>
                <c:pt idx="23">
                  <c:v>44519</c:v>
                </c:pt>
                <c:pt idx="24">
                  <c:v>44526</c:v>
                </c:pt>
                <c:pt idx="25">
                  <c:v>44533</c:v>
                </c:pt>
                <c:pt idx="26">
                  <c:v>44540</c:v>
                </c:pt>
                <c:pt idx="27">
                  <c:v>44547</c:v>
                </c:pt>
                <c:pt idx="28">
                  <c:v>44554</c:v>
                </c:pt>
                <c:pt idx="29">
                  <c:v>44561</c:v>
                </c:pt>
                <c:pt idx="30">
                  <c:v>44568</c:v>
                </c:pt>
                <c:pt idx="31">
                  <c:v>44575</c:v>
                </c:pt>
                <c:pt idx="32">
                  <c:v>44582</c:v>
                </c:pt>
                <c:pt idx="33">
                  <c:v>44589</c:v>
                </c:pt>
                <c:pt idx="34">
                  <c:v>44596</c:v>
                </c:pt>
                <c:pt idx="35">
                  <c:v>44603</c:v>
                </c:pt>
                <c:pt idx="36">
                  <c:v>44610</c:v>
                </c:pt>
                <c:pt idx="37">
                  <c:v>44617</c:v>
                </c:pt>
                <c:pt idx="38">
                  <c:v>44624</c:v>
                </c:pt>
                <c:pt idx="39">
                  <c:v>44631</c:v>
                </c:pt>
                <c:pt idx="40">
                  <c:v>44638</c:v>
                </c:pt>
                <c:pt idx="41">
                  <c:v>44645</c:v>
                </c:pt>
                <c:pt idx="42">
                  <c:v>44652</c:v>
                </c:pt>
                <c:pt idx="43">
                  <c:v>44659</c:v>
                </c:pt>
                <c:pt idx="44">
                  <c:v>44666</c:v>
                </c:pt>
                <c:pt idx="45">
                  <c:v>44673</c:v>
                </c:pt>
                <c:pt idx="46">
                  <c:v>44680</c:v>
                </c:pt>
                <c:pt idx="47">
                  <c:v>44687</c:v>
                </c:pt>
                <c:pt idx="48">
                  <c:v>44694</c:v>
                </c:pt>
                <c:pt idx="49">
                  <c:v>44701</c:v>
                </c:pt>
                <c:pt idx="50">
                  <c:v>44708</c:v>
                </c:pt>
                <c:pt idx="51">
                  <c:v>44715</c:v>
                </c:pt>
                <c:pt idx="52">
                  <c:v>44722</c:v>
                </c:pt>
                <c:pt idx="53">
                  <c:v>44729</c:v>
                </c:pt>
                <c:pt idx="54">
                  <c:v>44736</c:v>
                </c:pt>
                <c:pt idx="55">
                  <c:v>44743</c:v>
                </c:pt>
                <c:pt idx="56">
                  <c:v>44750</c:v>
                </c:pt>
                <c:pt idx="57">
                  <c:v>44757</c:v>
                </c:pt>
                <c:pt idx="58">
                  <c:v>44764</c:v>
                </c:pt>
                <c:pt idx="59">
                  <c:v>44771</c:v>
                </c:pt>
                <c:pt idx="60">
                  <c:v>44778</c:v>
                </c:pt>
                <c:pt idx="61">
                  <c:v>44785</c:v>
                </c:pt>
                <c:pt idx="62">
                  <c:v>44792</c:v>
                </c:pt>
                <c:pt idx="63">
                  <c:v>44799</c:v>
                </c:pt>
                <c:pt idx="64">
                  <c:v>44806</c:v>
                </c:pt>
                <c:pt idx="65">
                  <c:v>44813</c:v>
                </c:pt>
                <c:pt idx="66">
                  <c:v>44820</c:v>
                </c:pt>
                <c:pt idx="67">
                  <c:v>44827</c:v>
                </c:pt>
                <c:pt idx="68">
                  <c:v>44834</c:v>
                </c:pt>
                <c:pt idx="69">
                  <c:v>44841</c:v>
                </c:pt>
                <c:pt idx="70">
                  <c:v>44848</c:v>
                </c:pt>
                <c:pt idx="71">
                  <c:v>44855</c:v>
                </c:pt>
                <c:pt idx="72">
                  <c:v>44862</c:v>
                </c:pt>
                <c:pt idx="73">
                  <c:v>44869</c:v>
                </c:pt>
                <c:pt idx="74">
                  <c:v>44876</c:v>
                </c:pt>
                <c:pt idx="75">
                  <c:v>44883</c:v>
                </c:pt>
                <c:pt idx="76">
                  <c:v>44890</c:v>
                </c:pt>
                <c:pt idx="77">
                  <c:v>44897</c:v>
                </c:pt>
                <c:pt idx="78">
                  <c:v>44904</c:v>
                </c:pt>
                <c:pt idx="79">
                  <c:v>44911</c:v>
                </c:pt>
                <c:pt idx="80">
                  <c:v>44918</c:v>
                </c:pt>
                <c:pt idx="81">
                  <c:v>44925</c:v>
                </c:pt>
                <c:pt idx="82">
                  <c:v>44932</c:v>
                </c:pt>
                <c:pt idx="83">
                  <c:v>44939</c:v>
                </c:pt>
                <c:pt idx="84">
                  <c:v>44946</c:v>
                </c:pt>
                <c:pt idx="85">
                  <c:v>44953</c:v>
                </c:pt>
                <c:pt idx="86">
                  <c:v>44960</c:v>
                </c:pt>
                <c:pt idx="87">
                  <c:v>44967</c:v>
                </c:pt>
                <c:pt idx="88">
                  <c:v>44974</c:v>
                </c:pt>
                <c:pt idx="89">
                  <c:v>44981</c:v>
                </c:pt>
                <c:pt idx="90">
                  <c:v>44988</c:v>
                </c:pt>
                <c:pt idx="91">
                  <c:v>44995</c:v>
                </c:pt>
                <c:pt idx="92">
                  <c:v>45002</c:v>
                </c:pt>
                <c:pt idx="93">
                  <c:v>45009</c:v>
                </c:pt>
                <c:pt idx="94">
                  <c:v>45016</c:v>
                </c:pt>
                <c:pt idx="95">
                  <c:v>45023</c:v>
                </c:pt>
                <c:pt idx="96">
                  <c:v>45030</c:v>
                </c:pt>
                <c:pt idx="97">
                  <c:v>45037</c:v>
                </c:pt>
                <c:pt idx="98">
                  <c:v>45044</c:v>
                </c:pt>
                <c:pt idx="99">
                  <c:v>45051</c:v>
                </c:pt>
                <c:pt idx="100">
                  <c:v>45058</c:v>
                </c:pt>
                <c:pt idx="101">
                  <c:v>45065</c:v>
                </c:pt>
                <c:pt idx="102">
                  <c:v>45072</c:v>
                </c:pt>
                <c:pt idx="103">
                  <c:v>45079</c:v>
                </c:pt>
                <c:pt idx="104">
                  <c:v>45086</c:v>
                </c:pt>
                <c:pt idx="105">
                  <c:v>45093</c:v>
                </c:pt>
                <c:pt idx="106">
                  <c:v>45100</c:v>
                </c:pt>
                <c:pt idx="107">
                  <c:v>45107</c:v>
                </c:pt>
                <c:pt idx="108">
                  <c:v>45114</c:v>
                </c:pt>
                <c:pt idx="109">
                  <c:v>45121</c:v>
                </c:pt>
                <c:pt idx="110">
                  <c:v>45128</c:v>
                </c:pt>
                <c:pt idx="111">
                  <c:v>45135</c:v>
                </c:pt>
                <c:pt idx="112">
                  <c:v>45142</c:v>
                </c:pt>
                <c:pt idx="113">
                  <c:v>45149</c:v>
                </c:pt>
                <c:pt idx="114">
                  <c:v>45156</c:v>
                </c:pt>
                <c:pt idx="115">
                  <c:v>45163</c:v>
                </c:pt>
                <c:pt idx="116">
                  <c:v>45170</c:v>
                </c:pt>
                <c:pt idx="117">
                  <c:v>45177</c:v>
                </c:pt>
                <c:pt idx="118">
                  <c:v>45184</c:v>
                </c:pt>
                <c:pt idx="119">
                  <c:v>45191</c:v>
                </c:pt>
                <c:pt idx="120">
                  <c:v>45198</c:v>
                </c:pt>
                <c:pt idx="121">
                  <c:v>45205</c:v>
                </c:pt>
                <c:pt idx="122">
                  <c:v>45212</c:v>
                </c:pt>
                <c:pt idx="123">
                  <c:v>45219</c:v>
                </c:pt>
                <c:pt idx="124">
                  <c:v>45226</c:v>
                </c:pt>
                <c:pt idx="125">
                  <c:v>45233</c:v>
                </c:pt>
                <c:pt idx="126">
                  <c:v>45240</c:v>
                </c:pt>
                <c:pt idx="127">
                  <c:v>45247</c:v>
                </c:pt>
                <c:pt idx="128">
                  <c:v>45254</c:v>
                </c:pt>
                <c:pt idx="129">
                  <c:v>45261</c:v>
                </c:pt>
                <c:pt idx="130">
                  <c:v>45268</c:v>
                </c:pt>
                <c:pt idx="131">
                  <c:v>45275</c:v>
                </c:pt>
                <c:pt idx="132">
                  <c:v>45282</c:v>
                </c:pt>
                <c:pt idx="133">
                  <c:v>45289</c:v>
                </c:pt>
                <c:pt idx="134">
                  <c:v>45296</c:v>
                </c:pt>
                <c:pt idx="135">
                  <c:v>45303</c:v>
                </c:pt>
                <c:pt idx="136">
                  <c:v>45310</c:v>
                </c:pt>
                <c:pt idx="137">
                  <c:v>45317</c:v>
                </c:pt>
                <c:pt idx="138">
                  <c:v>45324</c:v>
                </c:pt>
                <c:pt idx="139">
                  <c:v>45331</c:v>
                </c:pt>
                <c:pt idx="140">
                  <c:v>45338</c:v>
                </c:pt>
                <c:pt idx="141">
                  <c:v>45345</c:v>
                </c:pt>
                <c:pt idx="142">
                  <c:v>45352</c:v>
                </c:pt>
                <c:pt idx="143">
                  <c:v>45359</c:v>
                </c:pt>
                <c:pt idx="144">
                  <c:v>45366</c:v>
                </c:pt>
                <c:pt idx="145">
                  <c:v>45373</c:v>
                </c:pt>
                <c:pt idx="146">
                  <c:v>45380</c:v>
                </c:pt>
                <c:pt idx="147">
                  <c:v>45387</c:v>
                </c:pt>
                <c:pt idx="148">
                  <c:v>45394</c:v>
                </c:pt>
                <c:pt idx="149">
                  <c:v>45401</c:v>
                </c:pt>
                <c:pt idx="150">
                  <c:v>45408</c:v>
                </c:pt>
                <c:pt idx="151">
                  <c:v>45415</c:v>
                </c:pt>
                <c:pt idx="152">
                  <c:v>45422</c:v>
                </c:pt>
                <c:pt idx="153">
                  <c:v>45429</c:v>
                </c:pt>
                <c:pt idx="154">
                  <c:v>45436</c:v>
                </c:pt>
                <c:pt idx="155">
                  <c:v>45443</c:v>
                </c:pt>
                <c:pt idx="156">
                  <c:v>45450</c:v>
                </c:pt>
                <c:pt idx="157">
                  <c:v>45457</c:v>
                </c:pt>
                <c:pt idx="158">
                  <c:v>45464</c:v>
                </c:pt>
                <c:pt idx="159">
                  <c:v>45471</c:v>
                </c:pt>
                <c:pt idx="160">
                  <c:v>45478</c:v>
                </c:pt>
                <c:pt idx="161">
                  <c:v>45485</c:v>
                </c:pt>
                <c:pt idx="162">
                  <c:v>45492</c:v>
                </c:pt>
                <c:pt idx="163">
                  <c:v>45499</c:v>
                </c:pt>
                <c:pt idx="164">
                  <c:v>45506</c:v>
                </c:pt>
                <c:pt idx="165">
                  <c:v>45513</c:v>
                </c:pt>
                <c:pt idx="166">
                  <c:v>45520</c:v>
                </c:pt>
                <c:pt idx="167">
                  <c:v>45527</c:v>
                </c:pt>
                <c:pt idx="168">
                  <c:v>45534</c:v>
                </c:pt>
                <c:pt idx="169">
                  <c:v>45541</c:v>
                </c:pt>
                <c:pt idx="170">
                  <c:v>45548</c:v>
                </c:pt>
                <c:pt idx="171">
                  <c:v>45555</c:v>
                </c:pt>
                <c:pt idx="172">
                  <c:v>45562</c:v>
                </c:pt>
                <c:pt idx="173">
                  <c:v>45569</c:v>
                </c:pt>
                <c:pt idx="174">
                  <c:v>45576</c:v>
                </c:pt>
                <c:pt idx="175">
                  <c:v>45583</c:v>
                </c:pt>
                <c:pt idx="176">
                  <c:v>45590</c:v>
                </c:pt>
                <c:pt idx="177">
                  <c:v>45597</c:v>
                </c:pt>
                <c:pt idx="178">
                  <c:v>45604</c:v>
                </c:pt>
                <c:pt idx="179">
                  <c:v>45611</c:v>
                </c:pt>
                <c:pt idx="180">
                  <c:v>45618</c:v>
                </c:pt>
                <c:pt idx="181">
                  <c:v>45625</c:v>
                </c:pt>
                <c:pt idx="182">
                  <c:v>45632</c:v>
                </c:pt>
                <c:pt idx="183">
                  <c:v>45639</c:v>
                </c:pt>
                <c:pt idx="184">
                  <c:v>45646</c:v>
                </c:pt>
                <c:pt idx="185">
                  <c:v>45653</c:v>
                </c:pt>
                <c:pt idx="186">
                  <c:v>45660</c:v>
                </c:pt>
                <c:pt idx="187">
                  <c:v>45667</c:v>
                </c:pt>
                <c:pt idx="188">
                  <c:v>45674</c:v>
                </c:pt>
                <c:pt idx="189">
                  <c:v>45681</c:v>
                </c:pt>
                <c:pt idx="190">
                  <c:v>45688</c:v>
                </c:pt>
                <c:pt idx="191">
                  <c:v>45695</c:v>
                </c:pt>
                <c:pt idx="192">
                  <c:v>45702</c:v>
                </c:pt>
                <c:pt idx="193">
                  <c:v>45709</c:v>
                </c:pt>
                <c:pt idx="194">
                  <c:v>45716</c:v>
                </c:pt>
                <c:pt idx="195">
                  <c:v>45723</c:v>
                </c:pt>
                <c:pt idx="196">
                  <c:v>45730</c:v>
                </c:pt>
                <c:pt idx="197">
                  <c:v>45737</c:v>
                </c:pt>
                <c:pt idx="198">
                  <c:v>45744</c:v>
                </c:pt>
                <c:pt idx="199">
                  <c:v>45751</c:v>
                </c:pt>
                <c:pt idx="200">
                  <c:v>45758</c:v>
                </c:pt>
                <c:pt idx="201">
                  <c:v>45765</c:v>
                </c:pt>
                <c:pt idx="202">
                  <c:v>45772</c:v>
                </c:pt>
                <c:pt idx="203">
                  <c:v>45779</c:v>
                </c:pt>
                <c:pt idx="204">
                  <c:v>45786</c:v>
                </c:pt>
                <c:pt idx="205">
                  <c:v>45793</c:v>
                </c:pt>
                <c:pt idx="206">
                  <c:v>45800</c:v>
                </c:pt>
                <c:pt idx="207">
                  <c:v>45807</c:v>
                </c:pt>
                <c:pt idx="208">
                  <c:v>45814</c:v>
                </c:pt>
                <c:pt idx="209">
                  <c:v>45821</c:v>
                </c:pt>
                <c:pt idx="210">
                  <c:v>45828</c:v>
                </c:pt>
                <c:pt idx="211">
                  <c:v>45835</c:v>
                </c:pt>
                <c:pt idx="212">
                  <c:v>45842</c:v>
                </c:pt>
                <c:pt idx="213">
                  <c:v>45849</c:v>
                </c:pt>
                <c:pt idx="214">
                  <c:v>45856</c:v>
                </c:pt>
                <c:pt idx="215">
                  <c:v>45863</c:v>
                </c:pt>
                <c:pt idx="216">
                  <c:v>45870</c:v>
                </c:pt>
                <c:pt idx="217">
                  <c:v>45877</c:v>
                </c:pt>
                <c:pt idx="218">
                  <c:v>45884</c:v>
                </c:pt>
                <c:pt idx="219">
                  <c:v>45891</c:v>
                </c:pt>
                <c:pt idx="220">
                  <c:v>45898</c:v>
                </c:pt>
                <c:pt idx="221">
                  <c:v>45905</c:v>
                </c:pt>
                <c:pt idx="222">
                  <c:v>45912</c:v>
                </c:pt>
                <c:pt idx="223">
                  <c:v>45919</c:v>
                </c:pt>
                <c:pt idx="224">
                  <c:v>45926</c:v>
                </c:pt>
                <c:pt idx="225">
                  <c:v>45933</c:v>
                </c:pt>
                <c:pt idx="226">
                  <c:v>45940</c:v>
                </c:pt>
                <c:pt idx="227">
                  <c:v>45947</c:v>
                </c:pt>
                <c:pt idx="228">
                  <c:v>45954</c:v>
                </c:pt>
                <c:pt idx="229">
                  <c:v>45961</c:v>
                </c:pt>
                <c:pt idx="230">
                  <c:v>45968</c:v>
                </c:pt>
                <c:pt idx="231">
                  <c:v>45975</c:v>
                </c:pt>
                <c:pt idx="232">
                  <c:v>45982</c:v>
                </c:pt>
                <c:pt idx="233">
                  <c:v>45989</c:v>
                </c:pt>
                <c:pt idx="234">
                  <c:v>45996</c:v>
                </c:pt>
                <c:pt idx="235">
                  <c:v>46003</c:v>
                </c:pt>
                <c:pt idx="236">
                  <c:v>46010</c:v>
                </c:pt>
                <c:pt idx="237">
                  <c:v>46017</c:v>
                </c:pt>
                <c:pt idx="238">
                  <c:v>46024</c:v>
                </c:pt>
                <c:pt idx="239">
                  <c:v>46031</c:v>
                </c:pt>
                <c:pt idx="240">
                  <c:v>46038</c:v>
                </c:pt>
                <c:pt idx="241">
                  <c:v>46045</c:v>
                </c:pt>
                <c:pt idx="242">
                  <c:v>46052</c:v>
                </c:pt>
                <c:pt idx="243">
                  <c:v>46059</c:v>
                </c:pt>
                <c:pt idx="244">
                  <c:v>46066</c:v>
                </c:pt>
                <c:pt idx="245">
                  <c:v>46073</c:v>
                </c:pt>
                <c:pt idx="246">
                  <c:v>46080</c:v>
                </c:pt>
                <c:pt idx="247">
                  <c:v>46087</c:v>
                </c:pt>
                <c:pt idx="248">
                  <c:v>46094</c:v>
                </c:pt>
                <c:pt idx="249">
                  <c:v>46101</c:v>
                </c:pt>
                <c:pt idx="250">
                  <c:v>46108</c:v>
                </c:pt>
                <c:pt idx="251">
                  <c:v>46115</c:v>
                </c:pt>
                <c:pt idx="252">
                  <c:v>46122</c:v>
                </c:pt>
                <c:pt idx="253">
                  <c:v>46129</c:v>
                </c:pt>
                <c:pt idx="254">
                  <c:v>46136</c:v>
                </c:pt>
                <c:pt idx="255">
                  <c:v>46143</c:v>
                </c:pt>
                <c:pt idx="256">
                  <c:v>46150</c:v>
                </c:pt>
                <c:pt idx="257">
                  <c:v>46157</c:v>
                </c:pt>
                <c:pt idx="258">
                  <c:v>46164</c:v>
                </c:pt>
                <c:pt idx="259">
                  <c:v>46171</c:v>
                </c:pt>
              </c:numCache>
            </c:numRef>
          </c:cat>
          <c:val>
            <c:numRef>
              <c:f>_DASH_DATA!$AM$2:$AM$261</c:f>
              <c:numCache>
                <c:formatCode>General</c:formatCode>
                <c:ptCount val="260"/>
                <c:pt idx="0">
                  <c:v>1.31</c:v>
                </c:pt>
                <c:pt idx="1">
                  <c:v>1.19</c:v>
                </c:pt>
                <c:pt idx="2">
                  <c:v>1.26</c:v>
                </c:pt>
                <c:pt idx="3">
                  <c:v>1.2</c:v>
                </c:pt>
                <c:pt idx="4">
                  <c:v>1.14</c:v>
                </c:pt>
                <c:pt idx="5">
                  <c:v>1.06</c:v>
                </c:pt>
                <c:pt idx="6">
                  <c:v>1.08</c:v>
                </c:pt>
                <c:pt idx="7">
                  <c:v>1.05</c:v>
                </c:pt>
                <c:pt idx="8">
                  <c:v>1.1</c:v>
                </c:pt>
                <c:pt idx="9">
                  <c:v>1.06</c:v>
                </c:pt>
                <c:pt idx="10">
                  <c:v>1.03</c:v>
                </c:pt>
                <c:pt idx="11">
                  <c:v>1.09</c:v>
                </c:pt>
                <c:pt idx="12">
                  <c:v>1.12</c:v>
                </c:pt>
                <c:pt idx="13">
                  <c:v>1.12</c:v>
                </c:pt>
                <c:pt idx="14">
                  <c:v>1.14</c:v>
                </c:pt>
                <c:pt idx="15">
                  <c:v>1.18</c:v>
                </c:pt>
                <c:pt idx="16">
                  <c:v>1.21</c:v>
                </c:pt>
                <c:pt idx="17">
                  <c:v>1.29</c:v>
                </c:pt>
                <c:pt idx="18">
                  <c:v>1.18</c:v>
                </c:pt>
                <c:pt idx="19">
                  <c:v>1.18</c:v>
                </c:pt>
                <c:pt idx="20">
                  <c:v>1.07</c:v>
                </c:pt>
                <c:pt idx="21">
                  <c:v>1.06</c:v>
                </c:pt>
                <c:pt idx="22">
                  <c:v>1.05</c:v>
                </c:pt>
                <c:pt idx="23">
                  <c:v>1.02</c:v>
                </c:pt>
                <c:pt idx="24">
                  <c:v>0.98</c:v>
                </c:pt>
                <c:pt idx="25">
                  <c:v>0.7500000000000001</c:v>
                </c:pt>
                <c:pt idx="26">
                  <c:v>0.8099999999999999</c:v>
                </c:pt>
                <c:pt idx="27">
                  <c:v>0.7499999999999999</c:v>
                </c:pt>
                <c:pt idx="28">
                  <c:v>0.79</c:v>
                </c:pt>
                <c:pt idx="29">
                  <c:v>0.79</c:v>
                </c:pt>
                <c:pt idx="30">
                  <c:v>0.89</c:v>
                </c:pt>
                <c:pt idx="31">
                  <c:v>0.79</c:v>
                </c:pt>
                <c:pt idx="32">
                  <c:v>0.74</c:v>
                </c:pt>
                <c:pt idx="33">
                  <c:v>0.6300000000000001</c:v>
                </c:pt>
                <c:pt idx="34">
                  <c:v>0.6199999999999999</c:v>
                </c:pt>
                <c:pt idx="35">
                  <c:v>0.4199999999999999</c:v>
                </c:pt>
                <c:pt idx="36">
                  <c:v>0.45</c:v>
                </c:pt>
                <c:pt idx="37">
                  <c:v>0.4199999999999999</c:v>
                </c:pt>
                <c:pt idx="38">
                  <c:v>0.24</c:v>
                </c:pt>
                <c:pt idx="39">
                  <c:v>0.25</c:v>
                </c:pt>
                <c:pt idx="40">
                  <c:v>0.1700000000000002</c:v>
                </c:pt>
                <c:pt idx="41">
                  <c:v>0.1800000000000002</c:v>
                </c:pt>
                <c:pt idx="42">
                  <c:v>-0.04999999999999982</c:v>
                </c:pt>
                <c:pt idx="43">
                  <c:v>0.1900000000000004</c:v>
                </c:pt>
                <c:pt idx="44">
                  <c:v>0.3599999999999999</c:v>
                </c:pt>
                <c:pt idx="45">
                  <c:v>0.1799999999999997</c:v>
                </c:pt>
                <c:pt idx="46">
                  <c:v>0.1899999999999999</c:v>
                </c:pt>
                <c:pt idx="47">
                  <c:v>0.3999999999999999</c:v>
                </c:pt>
                <c:pt idx="48">
                  <c:v>0.3200000000000003</c:v>
                </c:pt>
                <c:pt idx="49">
                  <c:v>0.1799999999999997</c:v>
                </c:pt>
                <c:pt idx="50">
                  <c:v>0.27</c:v>
                </c:pt>
                <c:pt idx="51">
                  <c:v>0.2999999999999998</c:v>
                </c:pt>
                <c:pt idx="52">
                  <c:v>0.08999999999999986</c:v>
                </c:pt>
                <c:pt idx="53">
                  <c:v>0.08000000000000007</c:v>
                </c:pt>
                <c:pt idx="54">
                  <c:v>0.08999999999999986</c:v>
                </c:pt>
                <c:pt idx="55">
                  <c:v>0.04000000000000004</c:v>
                </c:pt>
                <c:pt idx="56">
                  <c:v>-0.03000000000000025</c:v>
                </c:pt>
                <c:pt idx="57">
                  <c:v>-0.1999999999999997</c:v>
                </c:pt>
                <c:pt idx="58">
                  <c:v>-0.21</c:v>
                </c:pt>
                <c:pt idx="59">
                  <c:v>-0.2200000000000002</c:v>
                </c:pt>
                <c:pt idx="60">
                  <c:v>-0.4100000000000001</c:v>
                </c:pt>
                <c:pt idx="61">
                  <c:v>-0.4100000000000001</c:v>
                </c:pt>
                <c:pt idx="62">
                  <c:v>-0.27</c:v>
                </c:pt>
                <c:pt idx="63">
                  <c:v>-0.3300000000000001</c:v>
                </c:pt>
                <c:pt idx="64">
                  <c:v>-0.1999999999999997</c:v>
                </c:pt>
                <c:pt idx="65">
                  <c:v>-0.23</c:v>
                </c:pt>
                <c:pt idx="66">
                  <c:v>-0.3999999999999999</c:v>
                </c:pt>
                <c:pt idx="67">
                  <c:v>-0.5100000000000002</c:v>
                </c:pt>
                <c:pt idx="68">
                  <c:v>-0.3899999999999997</c:v>
                </c:pt>
                <c:pt idx="69">
                  <c:v>-0.4099999999999997</c:v>
                </c:pt>
                <c:pt idx="70">
                  <c:v>-0.4800000000000004</c:v>
                </c:pt>
                <c:pt idx="71">
                  <c:v>-0.2800000000000002</c:v>
                </c:pt>
                <c:pt idx="72">
                  <c:v>-0.3900000000000006</c:v>
                </c:pt>
                <c:pt idx="73">
                  <c:v>-0.4900000000000002</c:v>
                </c:pt>
                <c:pt idx="74">
                  <c:v>-0.52</c:v>
                </c:pt>
                <c:pt idx="75">
                  <c:v>-0.69</c:v>
                </c:pt>
                <c:pt idx="76">
                  <c:v>-0.7399999999999998</c:v>
                </c:pt>
                <c:pt idx="77">
                  <c:v>-0.7700000000000005</c:v>
                </c:pt>
                <c:pt idx="78">
                  <c:v>-0.7600000000000002</c:v>
                </c:pt>
                <c:pt idx="79">
                  <c:v>-0.69</c:v>
                </c:pt>
                <c:pt idx="80">
                  <c:v>-0.5599999999999996</c:v>
                </c:pt>
                <c:pt idx="81">
                  <c:v>-0.5300000000000002</c:v>
                </c:pt>
                <c:pt idx="82">
                  <c:v>-0.6900000000000004</c:v>
                </c:pt>
                <c:pt idx="83">
                  <c:v>-0.7299999999999995</c:v>
                </c:pt>
                <c:pt idx="84">
                  <c:v>-0.6599999999999997</c:v>
                </c:pt>
                <c:pt idx="85">
                  <c:v>-0.6700000000000004</c:v>
                </c:pt>
                <c:pt idx="86">
                  <c:v>-0.77</c:v>
                </c:pt>
                <c:pt idx="87">
                  <c:v>-0.7599999999999998</c:v>
                </c:pt>
                <c:pt idx="88">
                  <c:v>-0.7799999999999998</c:v>
                </c:pt>
                <c:pt idx="89">
                  <c:v>-0.8300000000000001</c:v>
                </c:pt>
                <c:pt idx="90">
                  <c:v>-0.8900000000000001</c:v>
                </c:pt>
                <c:pt idx="91">
                  <c:v>-0.8999999999999995</c:v>
                </c:pt>
                <c:pt idx="92">
                  <c:v>-0.4199999999999999</c:v>
                </c:pt>
                <c:pt idx="93">
                  <c:v>-0.3799999999999999</c:v>
                </c:pt>
                <c:pt idx="94">
                  <c:v>-0.5799999999999996</c:v>
                </c:pt>
                <c:pt idx="95">
                  <c:v>-0.5800000000000001</c:v>
                </c:pt>
                <c:pt idx="96">
                  <c:v>-0.56</c:v>
                </c:pt>
                <c:pt idx="97">
                  <c:v>-0.6000000000000001</c:v>
                </c:pt>
                <c:pt idx="98">
                  <c:v>-0.6000000000000001</c:v>
                </c:pt>
                <c:pt idx="99">
                  <c:v>-0.48</c:v>
                </c:pt>
                <c:pt idx="100">
                  <c:v>-0.52</c:v>
                </c:pt>
                <c:pt idx="101">
                  <c:v>-0.5800000000000001</c:v>
                </c:pt>
                <c:pt idx="102">
                  <c:v>-0.7400000000000002</c:v>
                </c:pt>
                <c:pt idx="103">
                  <c:v>-0.81</c:v>
                </c:pt>
                <c:pt idx="104">
                  <c:v>-0.8399999999999999</c:v>
                </c:pt>
                <c:pt idx="105">
                  <c:v>-0.9300000000000002</c:v>
                </c:pt>
                <c:pt idx="106">
                  <c:v>-0.9699999999999998</c:v>
                </c:pt>
                <c:pt idx="107">
                  <c:v>-1.06</c:v>
                </c:pt>
                <c:pt idx="108">
                  <c:v>-0.8800000000000008</c:v>
                </c:pt>
                <c:pt idx="109">
                  <c:v>-0.9100000000000001</c:v>
                </c:pt>
                <c:pt idx="110">
                  <c:v>-0.9800000000000004</c:v>
                </c:pt>
                <c:pt idx="111">
                  <c:v>-0.9100000000000001</c:v>
                </c:pt>
                <c:pt idx="112">
                  <c:v>-0.7300000000000004</c:v>
                </c:pt>
                <c:pt idx="113">
                  <c:v>-0.7299999999999995</c:v>
                </c:pt>
                <c:pt idx="114">
                  <c:v>-0.6600000000000001</c:v>
                </c:pt>
                <c:pt idx="115">
                  <c:v>-0.7800000000000002</c:v>
                </c:pt>
                <c:pt idx="116">
                  <c:v>-0.6900000000000004</c:v>
                </c:pt>
                <c:pt idx="117">
                  <c:v>-0.7200000000000006</c:v>
                </c:pt>
                <c:pt idx="118">
                  <c:v>-0.6899999999999995</c:v>
                </c:pt>
                <c:pt idx="119">
                  <c:v>-0.6599999999999993</c:v>
                </c:pt>
                <c:pt idx="120">
                  <c:v>-0.4400000000000004</c:v>
                </c:pt>
                <c:pt idx="121">
                  <c:v>-0.2999999999999998</c:v>
                </c:pt>
                <c:pt idx="122">
                  <c:v>-0.4100000000000001</c:v>
                </c:pt>
                <c:pt idx="123">
                  <c:v>-0.1400000000000006</c:v>
                </c:pt>
                <c:pt idx="124">
                  <c:v>-0.1500000000000004</c:v>
                </c:pt>
                <c:pt idx="125">
                  <c:v>-0.2599999999999998</c:v>
                </c:pt>
                <c:pt idx="126">
                  <c:v>-0.4299999999999997</c:v>
                </c:pt>
                <c:pt idx="127">
                  <c:v>-0.4399999999999995</c:v>
                </c:pt>
                <c:pt idx="128">
                  <c:v>-0.4500000000000002</c:v>
                </c:pt>
                <c:pt idx="129">
                  <c:v>-0.3399999999999999</c:v>
                </c:pt>
                <c:pt idx="130">
                  <c:v>-0.4799999999999995</c:v>
                </c:pt>
                <c:pt idx="131">
                  <c:v>-0.5300000000000002</c:v>
                </c:pt>
                <c:pt idx="132">
                  <c:v>-0.4099999999999997</c:v>
                </c:pt>
                <c:pt idx="133">
                  <c:v>-0.3500000000000005</c:v>
                </c:pt>
                <c:pt idx="134">
                  <c:v>-0.3500000000000005</c:v>
                </c:pt>
                <c:pt idx="135">
                  <c:v>-0.1799999999999997</c:v>
                </c:pt>
                <c:pt idx="136">
                  <c:v>-0.2399999999999993</c:v>
                </c:pt>
                <c:pt idx="137">
                  <c:v>-0.1899999999999995</c:v>
                </c:pt>
                <c:pt idx="138">
                  <c:v>-0.3300000000000001</c:v>
                </c:pt>
                <c:pt idx="139">
                  <c:v>-0.3100000000000005</c:v>
                </c:pt>
                <c:pt idx="140">
                  <c:v>-0.3399999999999999</c:v>
                </c:pt>
                <c:pt idx="141">
                  <c:v>-0.4100000000000001</c:v>
                </c:pt>
                <c:pt idx="142">
                  <c:v>-0.3499999999999996</c:v>
                </c:pt>
                <c:pt idx="143">
                  <c:v>-0.3900000000000006</c:v>
                </c:pt>
                <c:pt idx="144">
                  <c:v>-0.4100000000000001</c:v>
                </c:pt>
                <c:pt idx="145">
                  <c:v>-0.3700000000000001</c:v>
                </c:pt>
                <c:pt idx="146">
                  <c:v>-0.3899999999999997</c:v>
                </c:pt>
                <c:pt idx="147">
                  <c:v>-0.3400000000000007</c:v>
                </c:pt>
                <c:pt idx="148">
                  <c:v>-0.3799999999999999</c:v>
                </c:pt>
                <c:pt idx="149">
                  <c:v>-0.3499999999999996</c:v>
                </c:pt>
                <c:pt idx="150">
                  <c:v>-0.29</c:v>
                </c:pt>
                <c:pt idx="151">
                  <c:v>-0.3099999999999996</c:v>
                </c:pt>
                <c:pt idx="152">
                  <c:v>-0.3700000000000001</c:v>
                </c:pt>
                <c:pt idx="153">
                  <c:v>-0.4100000000000001</c:v>
                </c:pt>
                <c:pt idx="154">
                  <c:v>-0.4699999999999998</c:v>
                </c:pt>
                <c:pt idx="155">
                  <c:v>-0.3799999999999999</c:v>
                </c:pt>
                <c:pt idx="156">
                  <c:v>-0.4400000000000004</c:v>
                </c:pt>
                <c:pt idx="157">
                  <c:v>-0.4699999999999998</c:v>
                </c:pt>
                <c:pt idx="158">
                  <c:v>-0.4500000000000002</c:v>
                </c:pt>
                <c:pt idx="159">
                  <c:v>-0.3499999999999996</c:v>
                </c:pt>
                <c:pt idx="160">
                  <c:v>-0.3199999999999994</c:v>
                </c:pt>
                <c:pt idx="161">
                  <c:v>-0.2700000000000005</c:v>
                </c:pt>
                <c:pt idx="162">
                  <c:v>-0.2400000000000002</c:v>
                </c:pt>
                <c:pt idx="163">
                  <c:v>-0.1600000000000001</c:v>
                </c:pt>
                <c:pt idx="164">
                  <c:v>-0.08000000000000007</c:v>
                </c:pt>
                <c:pt idx="165">
                  <c:v>-0.1099999999999999</c:v>
                </c:pt>
                <c:pt idx="166">
                  <c:v>-0.1699999999999995</c:v>
                </c:pt>
                <c:pt idx="167">
                  <c:v>-0.08999999999999986</c:v>
                </c:pt>
                <c:pt idx="168">
                  <c:v>0</c:v>
                </c:pt>
                <c:pt idx="169">
                  <c:v>0.06000000000000005</c:v>
                </c:pt>
                <c:pt idx="170">
                  <c:v>0.0900000000000003</c:v>
                </c:pt>
                <c:pt idx="171">
                  <c:v>0.1800000000000002</c:v>
                </c:pt>
                <c:pt idx="172">
                  <c:v>0.2000000000000002</c:v>
                </c:pt>
                <c:pt idx="173">
                  <c:v>0.04999999999999982</c:v>
                </c:pt>
                <c:pt idx="174">
                  <c:v>0.1299999999999999</c:v>
                </c:pt>
                <c:pt idx="175">
                  <c:v>0.1299999999999999</c:v>
                </c:pt>
                <c:pt idx="176">
                  <c:v>0.1399999999999997</c:v>
                </c:pt>
                <c:pt idx="177">
                  <c:v>0.1600000000000001</c:v>
                </c:pt>
                <c:pt idx="178">
                  <c:v>0.04000000000000004</c:v>
                </c:pt>
                <c:pt idx="179">
                  <c:v>0.1200000000000001</c:v>
                </c:pt>
                <c:pt idx="180">
                  <c:v>0.04000000000000004</c:v>
                </c:pt>
                <c:pt idx="181">
                  <c:v>0.04999999999999982</c:v>
                </c:pt>
                <c:pt idx="182">
                  <c:v>0.05000000000000071</c:v>
                </c:pt>
                <c:pt idx="183">
                  <c:v>0.1500000000000004</c:v>
                </c:pt>
                <c:pt idx="184">
                  <c:v>0.2199999999999998</c:v>
                </c:pt>
                <c:pt idx="185">
                  <c:v>0.3100000000000005</c:v>
                </c:pt>
                <c:pt idx="186">
                  <c:v>0.3199999999999994</c:v>
                </c:pt>
                <c:pt idx="187">
                  <c:v>0.3699999999999992</c:v>
                </c:pt>
                <c:pt idx="188">
                  <c:v>0.3400000000000007</c:v>
                </c:pt>
                <c:pt idx="189">
                  <c:v>0.3600000000000003</c:v>
                </c:pt>
                <c:pt idx="190">
                  <c:v>0.3600000000000003</c:v>
                </c:pt>
                <c:pt idx="191">
                  <c:v>0.2000000000000002</c:v>
                </c:pt>
                <c:pt idx="192">
                  <c:v>0.21</c:v>
                </c:pt>
                <c:pt idx="193">
                  <c:v>0.2299999999999995</c:v>
                </c:pt>
                <c:pt idx="194">
                  <c:v>0.25</c:v>
                </c:pt>
                <c:pt idx="195">
                  <c:v>0.3300000000000001</c:v>
                </c:pt>
                <c:pt idx="196">
                  <c:v>0.29</c:v>
                </c:pt>
                <c:pt idx="197">
                  <c:v>0.3100000000000001</c:v>
                </c:pt>
                <c:pt idx="198">
                  <c:v>0.3799999999999994</c:v>
                </c:pt>
                <c:pt idx="199">
                  <c:v>0.3299999999999996</c:v>
                </c:pt>
                <c:pt idx="200">
                  <c:v>0.5200000000000005</c:v>
                </c:pt>
                <c:pt idx="201">
                  <c:v>0.5299999999999998</c:v>
                </c:pt>
                <c:pt idx="202">
                  <c:v>0.5499999999999998</c:v>
                </c:pt>
                <c:pt idx="203">
                  <c:v>0.5</c:v>
                </c:pt>
                <c:pt idx="204">
                  <c:v>0.4900000000000002</c:v>
                </c:pt>
                <c:pt idx="205">
                  <c:v>0.4499999999999997</c:v>
                </c:pt>
                <c:pt idx="206">
                  <c:v>0.5099999999999998</c:v>
                </c:pt>
                <c:pt idx="207">
                  <c:v>0.52</c:v>
                </c:pt>
                <c:pt idx="208">
                  <c:v>0.4699999999999998</c:v>
                </c:pt>
                <c:pt idx="209">
                  <c:v>0.4500000000000002</c:v>
                </c:pt>
                <c:pt idx="210">
                  <c:v>0.48</c:v>
                </c:pt>
                <c:pt idx="211">
                  <c:v>0.56</c:v>
                </c:pt>
                <c:pt idx="212">
                  <c:v>0.4699999999999998</c:v>
                </c:pt>
                <c:pt idx="213">
                  <c:v>0.5299999999999998</c:v>
                </c:pt>
                <c:pt idx="214">
                  <c:v>0.5600000000000005</c:v>
                </c:pt>
                <c:pt idx="215">
                  <c:v>0.4900000000000002</c:v>
                </c:pt>
                <c:pt idx="216">
                  <c:v>0.5400000000000005</c:v>
                </c:pt>
                <c:pt idx="217">
                  <c:v>0.5099999999999998</c:v>
                </c:pt>
                <c:pt idx="218">
                  <c:v>0.5800000000000001</c:v>
                </c:pt>
                <c:pt idx="219">
                  <c:v>0.5799999999999996</c:v>
                </c:pt>
                <c:pt idx="220">
                  <c:v>0.6400000000000006</c:v>
                </c:pt>
                <c:pt idx="221">
                  <c:v>0.5899999999999999</c:v>
                </c:pt>
                <c:pt idx="222">
                  <c:v>0.4999999999999996</c:v>
                </c:pt>
                <c:pt idx="223">
                  <c:v>0.5699999999999998</c:v>
                </c:pt>
                <c:pt idx="224">
                  <c:v>0.5700000000000003</c:v>
                </c:pt>
                <c:pt idx="225">
                  <c:v>0.5499999999999998</c:v>
                </c:pt>
                <c:pt idx="226">
                  <c:v>0.5299999999999998</c:v>
                </c:pt>
                <c:pt idx="227">
                  <c:v>0.5599999999999996</c:v>
                </c:pt>
                <c:pt idx="228">
                  <c:v>0.5399999999999996</c:v>
                </c:pt>
                <c:pt idx="229">
                  <c:v>0.5100000000000002</c:v>
                </c:pt>
                <c:pt idx="230">
                  <c:v>0.5600000000000005</c:v>
                </c:pt>
                <c:pt idx="231">
                  <c:v>0.5199999999999996</c:v>
                </c:pt>
                <c:pt idx="232">
                  <c:v>0.5499999999999998</c:v>
                </c:pt>
                <c:pt idx="233">
                  <c:v>0.5499999999999994</c:v>
                </c:pt>
                <c:pt idx="234">
                  <c:v>0.5799999999999996</c:v>
                </c:pt>
                <c:pt idx="235">
                  <c:v>0.6700000000000004</c:v>
                </c:pt>
                <c:pt idx="236">
                  <c:v>0.6800000000000002</c:v>
                </c:pt>
                <c:pt idx="237">
                  <c:v>0.6799999999999997</c:v>
                </c:pt>
                <c:pt idx="238">
                  <c:v>0.7200000000000002</c:v>
                </c:pt>
                <c:pt idx="239">
                  <c:v>0.6399999999999997</c:v>
                </c:pt>
                <c:pt idx="240">
                  <c:v>0.6500000000000004</c:v>
                </c:pt>
                <c:pt idx="241">
                  <c:v>0.6400000000000001</c:v>
                </c:pt>
                <c:pt idx="242">
                  <c:v>0.7399999999999998</c:v>
                </c:pt>
                <c:pt idx="243">
                  <c:v>0.7199999999999998</c:v>
                </c:pt>
                <c:pt idx="244">
                  <c:v>0.6400000000000001</c:v>
                </c:pt>
                <c:pt idx="245">
                  <c:v>0.6000000000000001</c:v>
                </c:pt>
                <c:pt idx="246">
                  <c:v>0.5900000000000003</c:v>
                </c:pt>
                <c:pt idx="247">
                  <c:v>0.5900000000000003</c:v>
                </c:pt>
                <c:pt idx="248">
                  <c:v>0.5500000000000003</c:v>
                </c:pt>
                <c:pt idx="249">
                  <c:v>0.5099999999999998</c:v>
                </c:pt>
                <c:pt idx="250">
                  <c:v>0.5600000000000005</c:v>
                </c:pt>
                <c:pt idx="251">
                  <c:v>0.5099999999999998</c:v>
                </c:pt>
                <c:pt idx="252">
                  <c:v>0.4999999999999996</c:v>
                </c:pt>
                <c:pt idx="253">
                  <c:v>0.5499999999999998</c:v>
                </c:pt>
                <c:pt idx="254">
                  <c:v>0.5299999999999998</c:v>
                </c:pt>
                <c:pt idx="255">
                  <c:v>0.5099999999999998</c:v>
                </c:pt>
                <c:pt idx="256">
                  <c:v>0.48</c:v>
                </c:pt>
                <c:pt idx="257">
                  <c:v>0.5</c:v>
                </c:pt>
                <c:pt idx="258">
                  <c:v>0.4299999999999997</c:v>
                </c:pt>
                <c:pt idx="259">
                  <c:v>0.4700000000000002</c:v>
                </c:pt>
              </c:numCache>
            </c:numRef>
          </c:val>
          <c:smooth val="0"/>
        </c:ser>
        <c:ser>
          <c:idx val="1"/>
          <c:order val="1"/>
          <c:tx>
            <c:v>Zero / Inversion Line</c:v>
          </c:tx>
          <c:spPr>
            <a:ln xmlns:a="http://schemas.openxmlformats.org/drawingml/2006/main" w="19050">
              <a:solidFill>
                <a:schemeClr val="bg2">
                  <a:lumMod val="25000"/>
                </a:schemeClr>
              </a:solidFill>
              <a:prstDash val="dash"/>
            </a:ln>
          </c:spPr>
          <c:marker>
            <c:symbol val="none"/>
          </c:marker>
          <c:cat>
            <c:numRef>
              <c:f>_DASH_DATA!$AL$2:$AL$261</c:f>
              <c:numCache>
                <c:formatCode>m/yyyy</c:formatCode>
                <c:ptCount val="260"/>
                <c:pt idx="0">
                  <c:v>44358</c:v>
                </c:pt>
                <c:pt idx="1">
                  <c:v>44365</c:v>
                </c:pt>
                <c:pt idx="2">
                  <c:v>44372</c:v>
                </c:pt>
                <c:pt idx="3">
                  <c:v>44379</c:v>
                </c:pt>
                <c:pt idx="4">
                  <c:v>44386</c:v>
                </c:pt>
                <c:pt idx="5">
                  <c:v>44393</c:v>
                </c:pt>
                <c:pt idx="6">
                  <c:v>44400</c:v>
                </c:pt>
                <c:pt idx="7">
                  <c:v>44407</c:v>
                </c:pt>
                <c:pt idx="8">
                  <c:v>44414</c:v>
                </c:pt>
                <c:pt idx="9">
                  <c:v>44421</c:v>
                </c:pt>
                <c:pt idx="10">
                  <c:v>44428</c:v>
                </c:pt>
                <c:pt idx="11">
                  <c:v>44435</c:v>
                </c:pt>
                <c:pt idx="12">
                  <c:v>44442</c:v>
                </c:pt>
                <c:pt idx="13">
                  <c:v>44449</c:v>
                </c:pt>
                <c:pt idx="14">
                  <c:v>44456</c:v>
                </c:pt>
                <c:pt idx="15">
                  <c:v>44463</c:v>
                </c:pt>
                <c:pt idx="16">
                  <c:v>44470</c:v>
                </c:pt>
                <c:pt idx="17">
                  <c:v>44477</c:v>
                </c:pt>
                <c:pt idx="18">
                  <c:v>44484</c:v>
                </c:pt>
                <c:pt idx="19">
                  <c:v>44491</c:v>
                </c:pt>
                <c:pt idx="20">
                  <c:v>44498</c:v>
                </c:pt>
                <c:pt idx="21">
                  <c:v>44505</c:v>
                </c:pt>
                <c:pt idx="22">
                  <c:v>44512</c:v>
                </c:pt>
                <c:pt idx="23">
                  <c:v>44519</c:v>
                </c:pt>
                <c:pt idx="24">
                  <c:v>44526</c:v>
                </c:pt>
                <c:pt idx="25">
                  <c:v>44533</c:v>
                </c:pt>
                <c:pt idx="26">
                  <c:v>44540</c:v>
                </c:pt>
                <c:pt idx="27">
                  <c:v>44547</c:v>
                </c:pt>
                <c:pt idx="28">
                  <c:v>44554</c:v>
                </c:pt>
                <c:pt idx="29">
                  <c:v>44561</c:v>
                </c:pt>
                <c:pt idx="30">
                  <c:v>44568</c:v>
                </c:pt>
                <c:pt idx="31">
                  <c:v>44575</c:v>
                </c:pt>
                <c:pt idx="32">
                  <c:v>44582</c:v>
                </c:pt>
                <c:pt idx="33">
                  <c:v>44589</c:v>
                </c:pt>
                <c:pt idx="34">
                  <c:v>44596</c:v>
                </c:pt>
                <c:pt idx="35">
                  <c:v>44603</c:v>
                </c:pt>
                <c:pt idx="36">
                  <c:v>44610</c:v>
                </c:pt>
                <c:pt idx="37">
                  <c:v>44617</c:v>
                </c:pt>
                <c:pt idx="38">
                  <c:v>44624</c:v>
                </c:pt>
                <c:pt idx="39">
                  <c:v>44631</c:v>
                </c:pt>
                <c:pt idx="40">
                  <c:v>44638</c:v>
                </c:pt>
                <c:pt idx="41">
                  <c:v>44645</c:v>
                </c:pt>
                <c:pt idx="42">
                  <c:v>44652</c:v>
                </c:pt>
                <c:pt idx="43">
                  <c:v>44659</c:v>
                </c:pt>
                <c:pt idx="44">
                  <c:v>44666</c:v>
                </c:pt>
                <c:pt idx="45">
                  <c:v>44673</c:v>
                </c:pt>
                <c:pt idx="46">
                  <c:v>44680</c:v>
                </c:pt>
                <c:pt idx="47">
                  <c:v>44687</c:v>
                </c:pt>
                <c:pt idx="48">
                  <c:v>44694</c:v>
                </c:pt>
                <c:pt idx="49">
                  <c:v>44701</c:v>
                </c:pt>
                <c:pt idx="50">
                  <c:v>44708</c:v>
                </c:pt>
                <c:pt idx="51">
                  <c:v>44715</c:v>
                </c:pt>
                <c:pt idx="52">
                  <c:v>44722</c:v>
                </c:pt>
                <c:pt idx="53">
                  <c:v>44729</c:v>
                </c:pt>
                <c:pt idx="54">
                  <c:v>44736</c:v>
                </c:pt>
                <c:pt idx="55">
                  <c:v>44743</c:v>
                </c:pt>
                <c:pt idx="56">
                  <c:v>44750</c:v>
                </c:pt>
                <c:pt idx="57">
                  <c:v>44757</c:v>
                </c:pt>
                <c:pt idx="58">
                  <c:v>44764</c:v>
                </c:pt>
                <c:pt idx="59">
                  <c:v>44771</c:v>
                </c:pt>
                <c:pt idx="60">
                  <c:v>44778</c:v>
                </c:pt>
                <c:pt idx="61">
                  <c:v>44785</c:v>
                </c:pt>
                <c:pt idx="62">
                  <c:v>44792</c:v>
                </c:pt>
                <c:pt idx="63">
                  <c:v>44799</c:v>
                </c:pt>
                <c:pt idx="64">
                  <c:v>44806</c:v>
                </c:pt>
                <c:pt idx="65">
                  <c:v>44813</c:v>
                </c:pt>
                <c:pt idx="66">
                  <c:v>44820</c:v>
                </c:pt>
                <c:pt idx="67">
                  <c:v>44827</c:v>
                </c:pt>
                <c:pt idx="68">
                  <c:v>44834</c:v>
                </c:pt>
                <c:pt idx="69">
                  <c:v>44841</c:v>
                </c:pt>
                <c:pt idx="70">
                  <c:v>44848</c:v>
                </c:pt>
                <c:pt idx="71">
                  <c:v>44855</c:v>
                </c:pt>
                <c:pt idx="72">
                  <c:v>44862</c:v>
                </c:pt>
                <c:pt idx="73">
                  <c:v>44869</c:v>
                </c:pt>
                <c:pt idx="74">
                  <c:v>44876</c:v>
                </c:pt>
                <c:pt idx="75">
                  <c:v>44883</c:v>
                </c:pt>
                <c:pt idx="76">
                  <c:v>44890</c:v>
                </c:pt>
                <c:pt idx="77">
                  <c:v>44897</c:v>
                </c:pt>
                <c:pt idx="78">
                  <c:v>44904</c:v>
                </c:pt>
                <c:pt idx="79">
                  <c:v>44911</c:v>
                </c:pt>
                <c:pt idx="80">
                  <c:v>44918</c:v>
                </c:pt>
                <c:pt idx="81">
                  <c:v>44925</c:v>
                </c:pt>
                <c:pt idx="82">
                  <c:v>44932</c:v>
                </c:pt>
                <c:pt idx="83">
                  <c:v>44939</c:v>
                </c:pt>
                <c:pt idx="84">
                  <c:v>44946</c:v>
                </c:pt>
                <c:pt idx="85">
                  <c:v>44953</c:v>
                </c:pt>
                <c:pt idx="86">
                  <c:v>44960</c:v>
                </c:pt>
                <c:pt idx="87">
                  <c:v>44967</c:v>
                </c:pt>
                <c:pt idx="88">
                  <c:v>44974</c:v>
                </c:pt>
                <c:pt idx="89">
                  <c:v>44981</c:v>
                </c:pt>
                <c:pt idx="90">
                  <c:v>44988</c:v>
                </c:pt>
                <c:pt idx="91">
                  <c:v>44995</c:v>
                </c:pt>
                <c:pt idx="92">
                  <c:v>45002</c:v>
                </c:pt>
                <c:pt idx="93">
                  <c:v>45009</c:v>
                </c:pt>
                <c:pt idx="94">
                  <c:v>45016</c:v>
                </c:pt>
                <c:pt idx="95">
                  <c:v>45023</c:v>
                </c:pt>
                <c:pt idx="96">
                  <c:v>45030</c:v>
                </c:pt>
                <c:pt idx="97">
                  <c:v>45037</c:v>
                </c:pt>
                <c:pt idx="98">
                  <c:v>45044</c:v>
                </c:pt>
                <c:pt idx="99">
                  <c:v>45051</c:v>
                </c:pt>
                <c:pt idx="100">
                  <c:v>45058</c:v>
                </c:pt>
                <c:pt idx="101">
                  <c:v>45065</c:v>
                </c:pt>
                <c:pt idx="102">
                  <c:v>45072</c:v>
                </c:pt>
                <c:pt idx="103">
                  <c:v>45079</c:v>
                </c:pt>
                <c:pt idx="104">
                  <c:v>45086</c:v>
                </c:pt>
                <c:pt idx="105">
                  <c:v>45093</c:v>
                </c:pt>
                <c:pt idx="106">
                  <c:v>45100</c:v>
                </c:pt>
                <c:pt idx="107">
                  <c:v>45107</c:v>
                </c:pt>
                <c:pt idx="108">
                  <c:v>45114</c:v>
                </c:pt>
                <c:pt idx="109">
                  <c:v>45121</c:v>
                </c:pt>
                <c:pt idx="110">
                  <c:v>45128</c:v>
                </c:pt>
                <c:pt idx="111">
                  <c:v>45135</c:v>
                </c:pt>
                <c:pt idx="112">
                  <c:v>45142</c:v>
                </c:pt>
                <c:pt idx="113">
                  <c:v>45149</c:v>
                </c:pt>
                <c:pt idx="114">
                  <c:v>45156</c:v>
                </c:pt>
                <c:pt idx="115">
                  <c:v>45163</c:v>
                </c:pt>
                <c:pt idx="116">
                  <c:v>45170</c:v>
                </c:pt>
                <c:pt idx="117">
                  <c:v>45177</c:v>
                </c:pt>
                <c:pt idx="118">
                  <c:v>45184</c:v>
                </c:pt>
                <c:pt idx="119">
                  <c:v>45191</c:v>
                </c:pt>
                <c:pt idx="120">
                  <c:v>45198</c:v>
                </c:pt>
                <c:pt idx="121">
                  <c:v>45205</c:v>
                </c:pt>
                <c:pt idx="122">
                  <c:v>45212</c:v>
                </c:pt>
                <c:pt idx="123">
                  <c:v>45219</c:v>
                </c:pt>
                <c:pt idx="124">
                  <c:v>45226</c:v>
                </c:pt>
                <c:pt idx="125">
                  <c:v>45233</c:v>
                </c:pt>
                <c:pt idx="126">
                  <c:v>45240</c:v>
                </c:pt>
                <c:pt idx="127">
                  <c:v>45247</c:v>
                </c:pt>
                <c:pt idx="128">
                  <c:v>45254</c:v>
                </c:pt>
                <c:pt idx="129">
                  <c:v>45261</c:v>
                </c:pt>
                <c:pt idx="130">
                  <c:v>45268</c:v>
                </c:pt>
                <c:pt idx="131">
                  <c:v>45275</c:v>
                </c:pt>
                <c:pt idx="132">
                  <c:v>45282</c:v>
                </c:pt>
                <c:pt idx="133">
                  <c:v>45289</c:v>
                </c:pt>
                <c:pt idx="134">
                  <c:v>45296</c:v>
                </c:pt>
                <c:pt idx="135">
                  <c:v>45303</c:v>
                </c:pt>
                <c:pt idx="136">
                  <c:v>45310</c:v>
                </c:pt>
                <c:pt idx="137">
                  <c:v>45317</c:v>
                </c:pt>
                <c:pt idx="138">
                  <c:v>45324</c:v>
                </c:pt>
                <c:pt idx="139">
                  <c:v>45331</c:v>
                </c:pt>
                <c:pt idx="140">
                  <c:v>45338</c:v>
                </c:pt>
                <c:pt idx="141">
                  <c:v>45345</c:v>
                </c:pt>
                <c:pt idx="142">
                  <c:v>45352</c:v>
                </c:pt>
                <c:pt idx="143">
                  <c:v>45359</c:v>
                </c:pt>
                <c:pt idx="144">
                  <c:v>45366</c:v>
                </c:pt>
                <c:pt idx="145">
                  <c:v>45373</c:v>
                </c:pt>
                <c:pt idx="146">
                  <c:v>45380</c:v>
                </c:pt>
                <c:pt idx="147">
                  <c:v>45387</c:v>
                </c:pt>
                <c:pt idx="148">
                  <c:v>45394</c:v>
                </c:pt>
                <c:pt idx="149">
                  <c:v>45401</c:v>
                </c:pt>
                <c:pt idx="150">
                  <c:v>45408</c:v>
                </c:pt>
                <c:pt idx="151">
                  <c:v>45415</c:v>
                </c:pt>
                <c:pt idx="152">
                  <c:v>45422</c:v>
                </c:pt>
                <c:pt idx="153">
                  <c:v>45429</c:v>
                </c:pt>
                <c:pt idx="154">
                  <c:v>45436</c:v>
                </c:pt>
                <c:pt idx="155">
                  <c:v>45443</c:v>
                </c:pt>
                <c:pt idx="156">
                  <c:v>45450</c:v>
                </c:pt>
                <c:pt idx="157">
                  <c:v>45457</c:v>
                </c:pt>
                <c:pt idx="158">
                  <c:v>45464</c:v>
                </c:pt>
                <c:pt idx="159">
                  <c:v>45471</c:v>
                </c:pt>
                <c:pt idx="160">
                  <c:v>45478</c:v>
                </c:pt>
                <c:pt idx="161">
                  <c:v>45485</c:v>
                </c:pt>
                <c:pt idx="162">
                  <c:v>45492</c:v>
                </c:pt>
                <c:pt idx="163">
                  <c:v>45499</c:v>
                </c:pt>
                <c:pt idx="164">
                  <c:v>45506</c:v>
                </c:pt>
                <c:pt idx="165">
                  <c:v>45513</c:v>
                </c:pt>
                <c:pt idx="166">
                  <c:v>45520</c:v>
                </c:pt>
                <c:pt idx="167">
                  <c:v>45527</c:v>
                </c:pt>
                <c:pt idx="168">
                  <c:v>45534</c:v>
                </c:pt>
                <c:pt idx="169">
                  <c:v>45541</c:v>
                </c:pt>
                <c:pt idx="170">
                  <c:v>45548</c:v>
                </c:pt>
                <c:pt idx="171">
                  <c:v>45555</c:v>
                </c:pt>
                <c:pt idx="172">
                  <c:v>45562</c:v>
                </c:pt>
                <c:pt idx="173">
                  <c:v>45569</c:v>
                </c:pt>
                <c:pt idx="174">
                  <c:v>45576</c:v>
                </c:pt>
                <c:pt idx="175">
                  <c:v>45583</c:v>
                </c:pt>
                <c:pt idx="176">
                  <c:v>45590</c:v>
                </c:pt>
                <c:pt idx="177">
                  <c:v>45597</c:v>
                </c:pt>
                <c:pt idx="178">
                  <c:v>45604</c:v>
                </c:pt>
                <c:pt idx="179">
                  <c:v>45611</c:v>
                </c:pt>
                <c:pt idx="180">
                  <c:v>45618</c:v>
                </c:pt>
                <c:pt idx="181">
                  <c:v>45625</c:v>
                </c:pt>
                <c:pt idx="182">
                  <c:v>45632</c:v>
                </c:pt>
                <c:pt idx="183">
                  <c:v>45639</c:v>
                </c:pt>
                <c:pt idx="184">
                  <c:v>45646</c:v>
                </c:pt>
                <c:pt idx="185">
                  <c:v>45653</c:v>
                </c:pt>
                <c:pt idx="186">
                  <c:v>45660</c:v>
                </c:pt>
                <c:pt idx="187">
                  <c:v>45667</c:v>
                </c:pt>
                <c:pt idx="188">
                  <c:v>45674</c:v>
                </c:pt>
                <c:pt idx="189">
                  <c:v>45681</c:v>
                </c:pt>
                <c:pt idx="190">
                  <c:v>45688</c:v>
                </c:pt>
                <c:pt idx="191">
                  <c:v>45695</c:v>
                </c:pt>
                <c:pt idx="192">
                  <c:v>45702</c:v>
                </c:pt>
                <c:pt idx="193">
                  <c:v>45709</c:v>
                </c:pt>
                <c:pt idx="194">
                  <c:v>45716</c:v>
                </c:pt>
                <c:pt idx="195">
                  <c:v>45723</c:v>
                </c:pt>
                <c:pt idx="196">
                  <c:v>45730</c:v>
                </c:pt>
                <c:pt idx="197">
                  <c:v>45737</c:v>
                </c:pt>
                <c:pt idx="198">
                  <c:v>45744</c:v>
                </c:pt>
                <c:pt idx="199">
                  <c:v>45751</c:v>
                </c:pt>
                <c:pt idx="200">
                  <c:v>45758</c:v>
                </c:pt>
                <c:pt idx="201">
                  <c:v>45765</c:v>
                </c:pt>
                <c:pt idx="202">
                  <c:v>45772</c:v>
                </c:pt>
                <c:pt idx="203">
                  <c:v>45779</c:v>
                </c:pt>
                <c:pt idx="204">
                  <c:v>45786</c:v>
                </c:pt>
                <c:pt idx="205">
                  <c:v>45793</c:v>
                </c:pt>
                <c:pt idx="206">
                  <c:v>45800</c:v>
                </c:pt>
                <c:pt idx="207">
                  <c:v>45807</c:v>
                </c:pt>
                <c:pt idx="208">
                  <c:v>45814</c:v>
                </c:pt>
                <c:pt idx="209">
                  <c:v>45821</c:v>
                </c:pt>
                <c:pt idx="210">
                  <c:v>45828</c:v>
                </c:pt>
                <c:pt idx="211">
                  <c:v>45835</c:v>
                </c:pt>
                <c:pt idx="212">
                  <c:v>45842</c:v>
                </c:pt>
                <c:pt idx="213">
                  <c:v>45849</c:v>
                </c:pt>
                <c:pt idx="214">
                  <c:v>45856</c:v>
                </c:pt>
                <c:pt idx="215">
                  <c:v>45863</c:v>
                </c:pt>
                <c:pt idx="216">
                  <c:v>45870</c:v>
                </c:pt>
                <c:pt idx="217">
                  <c:v>45877</c:v>
                </c:pt>
                <c:pt idx="218">
                  <c:v>45884</c:v>
                </c:pt>
                <c:pt idx="219">
                  <c:v>45891</c:v>
                </c:pt>
                <c:pt idx="220">
                  <c:v>45898</c:v>
                </c:pt>
                <c:pt idx="221">
                  <c:v>45905</c:v>
                </c:pt>
                <c:pt idx="222">
                  <c:v>45912</c:v>
                </c:pt>
                <c:pt idx="223">
                  <c:v>45919</c:v>
                </c:pt>
                <c:pt idx="224">
                  <c:v>45926</c:v>
                </c:pt>
                <c:pt idx="225">
                  <c:v>45933</c:v>
                </c:pt>
                <c:pt idx="226">
                  <c:v>45940</c:v>
                </c:pt>
                <c:pt idx="227">
                  <c:v>45947</c:v>
                </c:pt>
                <c:pt idx="228">
                  <c:v>45954</c:v>
                </c:pt>
                <c:pt idx="229">
                  <c:v>45961</c:v>
                </c:pt>
                <c:pt idx="230">
                  <c:v>45968</c:v>
                </c:pt>
                <c:pt idx="231">
                  <c:v>45975</c:v>
                </c:pt>
                <c:pt idx="232">
                  <c:v>45982</c:v>
                </c:pt>
                <c:pt idx="233">
                  <c:v>45989</c:v>
                </c:pt>
                <c:pt idx="234">
                  <c:v>45996</c:v>
                </c:pt>
                <c:pt idx="235">
                  <c:v>46003</c:v>
                </c:pt>
                <c:pt idx="236">
                  <c:v>46010</c:v>
                </c:pt>
                <c:pt idx="237">
                  <c:v>46017</c:v>
                </c:pt>
                <c:pt idx="238">
                  <c:v>46024</c:v>
                </c:pt>
                <c:pt idx="239">
                  <c:v>46031</c:v>
                </c:pt>
                <c:pt idx="240">
                  <c:v>46038</c:v>
                </c:pt>
                <c:pt idx="241">
                  <c:v>46045</c:v>
                </c:pt>
                <c:pt idx="242">
                  <c:v>46052</c:v>
                </c:pt>
                <c:pt idx="243">
                  <c:v>46059</c:v>
                </c:pt>
                <c:pt idx="244">
                  <c:v>46066</c:v>
                </c:pt>
                <c:pt idx="245">
                  <c:v>46073</c:v>
                </c:pt>
                <c:pt idx="246">
                  <c:v>46080</c:v>
                </c:pt>
                <c:pt idx="247">
                  <c:v>46087</c:v>
                </c:pt>
                <c:pt idx="248">
                  <c:v>46094</c:v>
                </c:pt>
                <c:pt idx="249">
                  <c:v>46101</c:v>
                </c:pt>
                <c:pt idx="250">
                  <c:v>46108</c:v>
                </c:pt>
                <c:pt idx="251">
                  <c:v>46115</c:v>
                </c:pt>
                <c:pt idx="252">
                  <c:v>46122</c:v>
                </c:pt>
                <c:pt idx="253">
                  <c:v>46129</c:v>
                </c:pt>
                <c:pt idx="254">
                  <c:v>46136</c:v>
                </c:pt>
                <c:pt idx="255">
                  <c:v>46143</c:v>
                </c:pt>
                <c:pt idx="256">
                  <c:v>46150</c:v>
                </c:pt>
                <c:pt idx="257">
                  <c:v>46157</c:v>
                </c:pt>
                <c:pt idx="258">
                  <c:v>46164</c:v>
                </c:pt>
                <c:pt idx="259">
                  <c:v>46171</c:v>
                </c:pt>
              </c:numCache>
            </c:numRef>
          </c:cat>
          <c:val>
            <c:numRef>
              <c:f>_DASH_DATA!$AN$2:$AN$261</c:f>
              <c:numCache>
                <c:formatCode>General</c:formatCode>
                <c:ptCount val="2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m/yyyy" sourceLinked="0"/>
        <c:majorTickMark val="none"/>
        <c:minorTickMark val="none"/>
        <c:tickLblPos val="low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  <a:prstDash val="solid"/>
          </a:ln>
        </c:spPr>
        <c:txPr>
          <a:bodyPr xmlns:a="http://schemas.openxmlformats.org/drawingml/2006/main" rot="-2700000" anchor="ctr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2"/>
          <c:min val="-2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Spread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  <a:prstDash val="solid"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1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10Y Real Yield (Last 5Y)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400" b="1" i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10Y Real Yield</c:v>
          </c:tx>
          <c:spPr>
            <a:ln xmlns:a="http://schemas.openxmlformats.org/drawingml/2006/main" w="25400">
              <a:solidFill>
                <a:srgbClr val="002060"/>
              </a:solidFill>
              <a:prstDash val="solid"/>
            </a:ln>
          </c:spPr>
          <c:marker>
            <c:symbol val="none"/>
          </c:marker>
          <c:cat>
            <c:numRef>
              <c:f>_DASH_DATA!$AE$2:$AE$261</c:f>
              <c:numCache>
                <c:formatCode>m/yyyy</c:formatCode>
                <c:ptCount val="260"/>
                <c:pt idx="0">
                  <c:v>44358</c:v>
                </c:pt>
                <c:pt idx="1">
                  <c:v>44365</c:v>
                </c:pt>
                <c:pt idx="2">
                  <c:v>44372</c:v>
                </c:pt>
                <c:pt idx="3">
                  <c:v>44379</c:v>
                </c:pt>
                <c:pt idx="4">
                  <c:v>44386</c:v>
                </c:pt>
                <c:pt idx="5">
                  <c:v>44393</c:v>
                </c:pt>
                <c:pt idx="6">
                  <c:v>44400</c:v>
                </c:pt>
                <c:pt idx="7">
                  <c:v>44407</c:v>
                </c:pt>
                <c:pt idx="8">
                  <c:v>44414</c:v>
                </c:pt>
                <c:pt idx="9">
                  <c:v>44421</c:v>
                </c:pt>
                <c:pt idx="10">
                  <c:v>44428</c:v>
                </c:pt>
                <c:pt idx="11">
                  <c:v>44435</c:v>
                </c:pt>
                <c:pt idx="12">
                  <c:v>44442</c:v>
                </c:pt>
                <c:pt idx="13">
                  <c:v>44449</c:v>
                </c:pt>
                <c:pt idx="14">
                  <c:v>44456</c:v>
                </c:pt>
                <c:pt idx="15">
                  <c:v>44463</c:v>
                </c:pt>
                <c:pt idx="16">
                  <c:v>44470</c:v>
                </c:pt>
                <c:pt idx="17">
                  <c:v>44477</c:v>
                </c:pt>
                <c:pt idx="18">
                  <c:v>44484</c:v>
                </c:pt>
                <c:pt idx="19">
                  <c:v>44491</c:v>
                </c:pt>
                <c:pt idx="20">
                  <c:v>44498</c:v>
                </c:pt>
                <c:pt idx="21">
                  <c:v>44505</c:v>
                </c:pt>
                <c:pt idx="22">
                  <c:v>44512</c:v>
                </c:pt>
                <c:pt idx="23">
                  <c:v>44519</c:v>
                </c:pt>
                <c:pt idx="24">
                  <c:v>44526</c:v>
                </c:pt>
                <c:pt idx="25">
                  <c:v>44533</c:v>
                </c:pt>
                <c:pt idx="26">
                  <c:v>44540</c:v>
                </c:pt>
                <c:pt idx="27">
                  <c:v>44547</c:v>
                </c:pt>
                <c:pt idx="28">
                  <c:v>44554</c:v>
                </c:pt>
                <c:pt idx="29">
                  <c:v>44561</c:v>
                </c:pt>
                <c:pt idx="30">
                  <c:v>44568</c:v>
                </c:pt>
                <c:pt idx="31">
                  <c:v>44575</c:v>
                </c:pt>
                <c:pt idx="32">
                  <c:v>44582</c:v>
                </c:pt>
                <c:pt idx="33">
                  <c:v>44589</c:v>
                </c:pt>
                <c:pt idx="34">
                  <c:v>44596</c:v>
                </c:pt>
                <c:pt idx="35">
                  <c:v>44603</c:v>
                </c:pt>
                <c:pt idx="36">
                  <c:v>44610</c:v>
                </c:pt>
                <c:pt idx="37">
                  <c:v>44617</c:v>
                </c:pt>
                <c:pt idx="38">
                  <c:v>44624</c:v>
                </c:pt>
                <c:pt idx="39">
                  <c:v>44631</c:v>
                </c:pt>
                <c:pt idx="40">
                  <c:v>44638</c:v>
                </c:pt>
                <c:pt idx="41">
                  <c:v>44645</c:v>
                </c:pt>
                <c:pt idx="42">
                  <c:v>44652</c:v>
                </c:pt>
                <c:pt idx="43">
                  <c:v>44659</c:v>
                </c:pt>
                <c:pt idx="44">
                  <c:v>44666</c:v>
                </c:pt>
                <c:pt idx="45">
                  <c:v>44673</c:v>
                </c:pt>
                <c:pt idx="46">
                  <c:v>44680</c:v>
                </c:pt>
                <c:pt idx="47">
                  <c:v>44687</c:v>
                </c:pt>
                <c:pt idx="48">
                  <c:v>44694</c:v>
                </c:pt>
                <c:pt idx="49">
                  <c:v>44701</c:v>
                </c:pt>
                <c:pt idx="50">
                  <c:v>44708</c:v>
                </c:pt>
                <c:pt idx="51">
                  <c:v>44715</c:v>
                </c:pt>
                <c:pt idx="52">
                  <c:v>44722</c:v>
                </c:pt>
                <c:pt idx="53">
                  <c:v>44729</c:v>
                </c:pt>
                <c:pt idx="54">
                  <c:v>44736</c:v>
                </c:pt>
                <c:pt idx="55">
                  <c:v>44743</c:v>
                </c:pt>
                <c:pt idx="56">
                  <c:v>44750</c:v>
                </c:pt>
                <c:pt idx="57">
                  <c:v>44757</c:v>
                </c:pt>
                <c:pt idx="58">
                  <c:v>44764</c:v>
                </c:pt>
                <c:pt idx="59">
                  <c:v>44771</c:v>
                </c:pt>
                <c:pt idx="60">
                  <c:v>44778</c:v>
                </c:pt>
                <c:pt idx="61">
                  <c:v>44785</c:v>
                </c:pt>
                <c:pt idx="62">
                  <c:v>44792</c:v>
                </c:pt>
                <c:pt idx="63">
                  <c:v>44799</c:v>
                </c:pt>
                <c:pt idx="64">
                  <c:v>44806</c:v>
                </c:pt>
                <c:pt idx="65">
                  <c:v>44813</c:v>
                </c:pt>
                <c:pt idx="66">
                  <c:v>44820</c:v>
                </c:pt>
                <c:pt idx="67">
                  <c:v>44827</c:v>
                </c:pt>
                <c:pt idx="68">
                  <c:v>44834</c:v>
                </c:pt>
                <c:pt idx="69">
                  <c:v>44841</c:v>
                </c:pt>
                <c:pt idx="70">
                  <c:v>44848</c:v>
                </c:pt>
                <c:pt idx="71">
                  <c:v>44855</c:v>
                </c:pt>
                <c:pt idx="72">
                  <c:v>44862</c:v>
                </c:pt>
                <c:pt idx="73">
                  <c:v>44869</c:v>
                </c:pt>
                <c:pt idx="74">
                  <c:v>44876</c:v>
                </c:pt>
                <c:pt idx="75">
                  <c:v>44883</c:v>
                </c:pt>
                <c:pt idx="76">
                  <c:v>44890</c:v>
                </c:pt>
                <c:pt idx="77">
                  <c:v>44897</c:v>
                </c:pt>
                <c:pt idx="78">
                  <c:v>44904</c:v>
                </c:pt>
                <c:pt idx="79">
                  <c:v>44911</c:v>
                </c:pt>
                <c:pt idx="80">
                  <c:v>44918</c:v>
                </c:pt>
                <c:pt idx="81">
                  <c:v>44925</c:v>
                </c:pt>
                <c:pt idx="82">
                  <c:v>44932</c:v>
                </c:pt>
                <c:pt idx="83">
                  <c:v>44939</c:v>
                </c:pt>
                <c:pt idx="84">
                  <c:v>44946</c:v>
                </c:pt>
                <c:pt idx="85">
                  <c:v>44953</c:v>
                </c:pt>
                <c:pt idx="86">
                  <c:v>44960</c:v>
                </c:pt>
                <c:pt idx="87">
                  <c:v>44967</c:v>
                </c:pt>
                <c:pt idx="88">
                  <c:v>44974</c:v>
                </c:pt>
                <c:pt idx="89">
                  <c:v>44981</c:v>
                </c:pt>
                <c:pt idx="90">
                  <c:v>44988</c:v>
                </c:pt>
                <c:pt idx="91">
                  <c:v>44995</c:v>
                </c:pt>
                <c:pt idx="92">
                  <c:v>45002</c:v>
                </c:pt>
                <c:pt idx="93">
                  <c:v>45009</c:v>
                </c:pt>
                <c:pt idx="94">
                  <c:v>45016</c:v>
                </c:pt>
                <c:pt idx="95">
                  <c:v>45023</c:v>
                </c:pt>
                <c:pt idx="96">
                  <c:v>45030</c:v>
                </c:pt>
                <c:pt idx="97">
                  <c:v>45037</c:v>
                </c:pt>
                <c:pt idx="98">
                  <c:v>45044</c:v>
                </c:pt>
                <c:pt idx="99">
                  <c:v>45051</c:v>
                </c:pt>
                <c:pt idx="100">
                  <c:v>45058</c:v>
                </c:pt>
                <c:pt idx="101">
                  <c:v>45065</c:v>
                </c:pt>
                <c:pt idx="102">
                  <c:v>45072</c:v>
                </c:pt>
                <c:pt idx="103">
                  <c:v>45079</c:v>
                </c:pt>
                <c:pt idx="104">
                  <c:v>45086</c:v>
                </c:pt>
                <c:pt idx="105">
                  <c:v>45093</c:v>
                </c:pt>
                <c:pt idx="106">
                  <c:v>45100</c:v>
                </c:pt>
                <c:pt idx="107">
                  <c:v>45107</c:v>
                </c:pt>
                <c:pt idx="108">
                  <c:v>45114</c:v>
                </c:pt>
                <c:pt idx="109">
                  <c:v>45121</c:v>
                </c:pt>
                <c:pt idx="110">
                  <c:v>45128</c:v>
                </c:pt>
                <c:pt idx="111">
                  <c:v>45135</c:v>
                </c:pt>
                <c:pt idx="112">
                  <c:v>45142</c:v>
                </c:pt>
                <c:pt idx="113">
                  <c:v>45149</c:v>
                </c:pt>
                <c:pt idx="114">
                  <c:v>45156</c:v>
                </c:pt>
                <c:pt idx="115">
                  <c:v>45163</c:v>
                </c:pt>
                <c:pt idx="116">
                  <c:v>45170</c:v>
                </c:pt>
                <c:pt idx="117">
                  <c:v>45177</c:v>
                </c:pt>
                <c:pt idx="118">
                  <c:v>45184</c:v>
                </c:pt>
                <c:pt idx="119">
                  <c:v>45191</c:v>
                </c:pt>
                <c:pt idx="120">
                  <c:v>45198</c:v>
                </c:pt>
                <c:pt idx="121">
                  <c:v>45205</c:v>
                </c:pt>
                <c:pt idx="122">
                  <c:v>45212</c:v>
                </c:pt>
                <c:pt idx="123">
                  <c:v>45219</c:v>
                </c:pt>
                <c:pt idx="124">
                  <c:v>45226</c:v>
                </c:pt>
                <c:pt idx="125">
                  <c:v>45233</c:v>
                </c:pt>
                <c:pt idx="126">
                  <c:v>45240</c:v>
                </c:pt>
                <c:pt idx="127">
                  <c:v>45247</c:v>
                </c:pt>
                <c:pt idx="128">
                  <c:v>45254</c:v>
                </c:pt>
                <c:pt idx="129">
                  <c:v>45261</c:v>
                </c:pt>
                <c:pt idx="130">
                  <c:v>45268</c:v>
                </c:pt>
                <c:pt idx="131">
                  <c:v>45275</c:v>
                </c:pt>
                <c:pt idx="132">
                  <c:v>45282</c:v>
                </c:pt>
                <c:pt idx="133">
                  <c:v>45289</c:v>
                </c:pt>
                <c:pt idx="134">
                  <c:v>45296</c:v>
                </c:pt>
                <c:pt idx="135">
                  <c:v>45303</c:v>
                </c:pt>
                <c:pt idx="136">
                  <c:v>45310</c:v>
                </c:pt>
                <c:pt idx="137">
                  <c:v>45317</c:v>
                </c:pt>
                <c:pt idx="138">
                  <c:v>45324</c:v>
                </c:pt>
                <c:pt idx="139">
                  <c:v>45331</c:v>
                </c:pt>
                <c:pt idx="140">
                  <c:v>45338</c:v>
                </c:pt>
                <c:pt idx="141">
                  <c:v>45345</c:v>
                </c:pt>
                <c:pt idx="142">
                  <c:v>45352</c:v>
                </c:pt>
                <c:pt idx="143">
                  <c:v>45359</c:v>
                </c:pt>
                <c:pt idx="144">
                  <c:v>45366</c:v>
                </c:pt>
                <c:pt idx="145">
                  <c:v>45373</c:v>
                </c:pt>
                <c:pt idx="146">
                  <c:v>45380</c:v>
                </c:pt>
                <c:pt idx="147">
                  <c:v>45387</c:v>
                </c:pt>
                <c:pt idx="148">
                  <c:v>45394</c:v>
                </c:pt>
                <c:pt idx="149">
                  <c:v>45401</c:v>
                </c:pt>
                <c:pt idx="150">
                  <c:v>45408</c:v>
                </c:pt>
                <c:pt idx="151">
                  <c:v>45415</c:v>
                </c:pt>
                <c:pt idx="152">
                  <c:v>45422</c:v>
                </c:pt>
                <c:pt idx="153">
                  <c:v>45429</c:v>
                </c:pt>
                <c:pt idx="154">
                  <c:v>45436</c:v>
                </c:pt>
                <c:pt idx="155">
                  <c:v>45443</c:v>
                </c:pt>
                <c:pt idx="156">
                  <c:v>45450</c:v>
                </c:pt>
                <c:pt idx="157">
                  <c:v>45457</c:v>
                </c:pt>
                <c:pt idx="158">
                  <c:v>45464</c:v>
                </c:pt>
                <c:pt idx="159">
                  <c:v>45471</c:v>
                </c:pt>
                <c:pt idx="160">
                  <c:v>45478</c:v>
                </c:pt>
                <c:pt idx="161">
                  <c:v>45485</c:v>
                </c:pt>
                <c:pt idx="162">
                  <c:v>45492</c:v>
                </c:pt>
                <c:pt idx="163">
                  <c:v>45499</c:v>
                </c:pt>
                <c:pt idx="164">
                  <c:v>45506</c:v>
                </c:pt>
                <c:pt idx="165">
                  <c:v>45513</c:v>
                </c:pt>
                <c:pt idx="166">
                  <c:v>45520</c:v>
                </c:pt>
                <c:pt idx="167">
                  <c:v>45527</c:v>
                </c:pt>
                <c:pt idx="168">
                  <c:v>45534</c:v>
                </c:pt>
                <c:pt idx="169">
                  <c:v>45541</c:v>
                </c:pt>
                <c:pt idx="170">
                  <c:v>45548</c:v>
                </c:pt>
                <c:pt idx="171">
                  <c:v>45555</c:v>
                </c:pt>
                <c:pt idx="172">
                  <c:v>45562</c:v>
                </c:pt>
                <c:pt idx="173">
                  <c:v>45569</c:v>
                </c:pt>
                <c:pt idx="174">
                  <c:v>45576</c:v>
                </c:pt>
                <c:pt idx="175">
                  <c:v>45583</c:v>
                </c:pt>
                <c:pt idx="176">
                  <c:v>45590</c:v>
                </c:pt>
                <c:pt idx="177">
                  <c:v>45597</c:v>
                </c:pt>
                <c:pt idx="178">
                  <c:v>45604</c:v>
                </c:pt>
                <c:pt idx="179">
                  <c:v>45611</c:v>
                </c:pt>
                <c:pt idx="180">
                  <c:v>45618</c:v>
                </c:pt>
                <c:pt idx="181">
                  <c:v>45625</c:v>
                </c:pt>
                <c:pt idx="182">
                  <c:v>45632</c:v>
                </c:pt>
                <c:pt idx="183">
                  <c:v>45639</c:v>
                </c:pt>
                <c:pt idx="184">
                  <c:v>45646</c:v>
                </c:pt>
                <c:pt idx="185">
                  <c:v>45653</c:v>
                </c:pt>
                <c:pt idx="186">
                  <c:v>45660</c:v>
                </c:pt>
                <c:pt idx="187">
                  <c:v>45667</c:v>
                </c:pt>
                <c:pt idx="188">
                  <c:v>45674</c:v>
                </c:pt>
                <c:pt idx="189">
                  <c:v>45681</c:v>
                </c:pt>
                <c:pt idx="190">
                  <c:v>45688</c:v>
                </c:pt>
                <c:pt idx="191">
                  <c:v>45695</c:v>
                </c:pt>
                <c:pt idx="192">
                  <c:v>45702</c:v>
                </c:pt>
                <c:pt idx="193">
                  <c:v>45709</c:v>
                </c:pt>
                <c:pt idx="194">
                  <c:v>45716</c:v>
                </c:pt>
                <c:pt idx="195">
                  <c:v>45723</c:v>
                </c:pt>
                <c:pt idx="196">
                  <c:v>45730</c:v>
                </c:pt>
                <c:pt idx="197">
                  <c:v>45737</c:v>
                </c:pt>
                <c:pt idx="198">
                  <c:v>45744</c:v>
                </c:pt>
                <c:pt idx="199">
                  <c:v>45751</c:v>
                </c:pt>
                <c:pt idx="200">
                  <c:v>45758</c:v>
                </c:pt>
                <c:pt idx="201">
                  <c:v>45765</c:v>
                </c:pt>
                <c:pt idx="202">
                  <c:v>45772</c:v>
                </c:pt>
                <c:pt idx="203">
                  <c:v>45779</c:v>
                </c:pt>
                <c:pt idx="204">
                  <c:v>45786</c:v>
                </c:pt>
                <c:pt idx="205">
                  <c:v>45793</c:v>
                </c:pt>
                <c:pt idx="206">
                  <c:v>45800</c:v>
                </c:pt>
                <c:pt idx="207">
                  <c:v>45807</c:v>
                </c:pt>
                <c:pt idx="208">
                  <c:v>45814</c:v>
                </c:pt>
                <c:pt idx="209">
                  <c:v>45821</c:v>
                </c:pt>
                <c:pt idx="210">
                  <c:v>45828</c:v>
                </c:pt>
                <c:pt idx="211">
                  <c:v>45835</c:v>
                </c:pt>
                <c:pt idx="212">
                  <c:v>45842</c:v>
                </c:pt>
                <c:pt idx="213">
                  <c:v>45849</c:v>
                </c:pt>
                <c:pt idx="214">
                  <c:v>45856</c:v>
                </c:pt>
                <c:pt idx="215">
                  <c:v>45863</c:v>
                </c:pt>
                <c:pt idx="216">
                  <c:v>45870</c:v>
                </c:pt>
                <c:pt idx="217">
                  <c:v>45877</c:v>
                </c:pt>
                <c:pt idx="218">
                  <c:v>45884</c:v>
                </c:pt>
                <c:pt idx="219">
                  <c:v>45891</c:v>
                </c:pt>
                <c:pt idx="220">
                  <c:v>45898</c:v>
                </c:pt>
                <c:pt idx="221">
                  <c:v>45905</c:v>
                </c:pt>
                <c:pt idx="222">
                  <c:v>45912</c:v>
                </c:pt>
                <c:pt idx="223">
                  <c:v>45919</c:v>
                </c:pt>
                <c:pt idx="224">
                  <c:v>45926</c:v>
                </c:pt>
                <c:pt idx="225">
                  <c:v>45933</c:v>
                </c:pt>
                <c:pt idx="226">
                  <c:v>45940</c:v>
                </c:pt>
                <c:pt idx="227">
                  <c:v>45947</c:v>
                </c:pt>
                <c:pt idx="228">
                  <c:v>45954</c:v>
                </c:pt>
                <c:pt idx="229">
                  <c:v>45961</c:v>
                </c:pt>
                <c:pt idx="230">
                  <c:v>45968</c:v>
                </c:pt>
                <c:pt idx="231">
                  <c:v>45975</c:v>
                </c:pt>
                <c:pt idx="232">
                  <c:v>45982</c:v>
                </c:pt>
                <c:pt idx="233">
                  <c:v>45989</c:v>
                </c:pt>
                <c:pt idx="234">
                  <c:v>45996</c:v>
                </c:pt>
                <c:pt idx="235">
                  <c:v>46003</c:v>
                </c:pt>
                <c:pt idx="236">
                  <c:v>46010</c:v>
                </c:pt>
                <c:pt idx="237">
                  <c:v>46017</c:v>
                </c:pt>
                <c:pt idx="238">
                  <c:v>46024</c:v>
                </c:pt>
                <c:pt idx="239">
                  <c:v>46031</c:v>
                </c:pt>
                <c:pt idx="240">
                  <c:v>46038</c:v>
                </c:pt>
                <c:pt idx="241">
                  <c:v>46045</c:v>
                </c:pt>
                <c:pt idx="242">
                  <c:v>46052</c:v>
                </c:pt>
                <c:pt idx="243">
                  <c:v>46059</c:v>
                </c:pt>
                <c:pt idx="244">
                  <c:v>46066</c:v>
                </c:pt>
                <c:pt idx="245">
                  <c:v>46073</c:v>
                </c:pt>
                <c:pt idx="246">
                  <c:v>46080</c:v>
                </c:pt>
                <c:pt idx="247">
                  <c:v>46087</c:v>
                </c:pt>
                <c:pt idx="248">
                  <c:v>46094</c:v>
                </c:pt>
                <c:pt idx="249">
                  <c:v>46101</c:v>
                </c:pt>
                <c:pt idx="250">
                  <c:v>46108</c:v>
                </c:pt>
                <c:pt idx="251">
                  <c:v>46115</c:v>
                </c:pt>
                <c:pt idx="252">
                  <c:v>46122</c:v>
                </c:pt>
                <c:pt idx="253">
                  <c:v>46129</c:v>
                </c:pt>
                <c:pt idx="254">
                  <c:v>46136</c:v>
                </c:pt>
                <c:pt idx="255">
                  <c:v>46143</c:v>
                </c:pt>
                <c:pt idx="256">
                  <c:v>46150</c:v>
                </c:pt>
                <c:pt idx="257">
                  <c:v>46157</c:v>
                </c:pt>
                <c:pt idx="258">
                  <c:v>46164</c:v>
                </c:pt>
                <c:pt idx="259">
                  <c:v>46171</c:v>
                </c:pt>
              </c:numCache>
            </c:numRef>
          </c:cat>
          <c:val>
            <c:numRef>
              <c:f>_DASH_DATA!$AF$2:$AF$261</c:f>
              <c:numCache>
                <c:formatCode>General</c:formatCode>
                <c:ptCount val="260"/>
                <c:pt idx="0">
                  <c:v>-0.85</c:v>
                </c:pt>
                <c:pt idx="1">
                  <c:v>-0.79</c:v>
                </c:pt>
                <c:pt idx="2">
                  <c:v>-0.8</c:v>
                </c:pt>
                <c:pt idx="3">
                  <c:v>-0.89</c:v>
                </c:pt>
                <c:pt idx="4">
                  <c:v>-0.91</c:v>
                </c:pt>
                <c:pt idx="5">
                  <c:v>-1.02</c:v>
                </c:pt>
                <c:pt idx="6">
                  <c:v>-1.05</c:v>
                </c:pt>
                <c:pt idx="7">
                  <c:v>-1.16</c:v>
                </c:pt>
                <c:pt idx="8">
                  <c:v>-1.06</c:v>
                </c:pt>
                <c:pt idx="9">
                  <c:v>-1.08</c:v>
                </c:pt>
                <c:pt idx="10">
                  <c:v>-1.01</c:v>
                </c:pt>
                <c:pt idx="11">
                  <c:v>-1.08</c:v>
                </c:pt>
                <c:pt idx="12">
                  <c:v>-1.01</c:v>
                </c:pt>
                <c:pt idx="13">
                  <c:v>-1.05</c:v>
                </c:pt>
                <c:pt idx="14">
                  <c:v>-0.96</c:v>
                </c:pt>
                <c:pt idx="15">
                  <c:v>-0.87</c:v>
                </c:pt>
                <c:pt idx="16">
                  <c:v>-0.9</c:v>
                </c:pt>
                <c:pt idx="17">
                  <c:v>-0.89</c:v>
                </c:pt>
                <c:pt idx="18">
                  <c:v>-0.97</c:v>
                </c:pt>
                <c:pt idx="19">
                  <c:v>-0.98</c:v>
                </c:pt>
                <c:pt idx="20">
                  <c:v>-0.96</c:v>
                </c:pt>
                <c:pt idx="21">
                  <c:v>-1.09</c:v>
                </c:pt>
                <c:pt idx="22">
                  <c:v>-1.15</c:v>
                </c:pt>
                <c:pt idx="23">
                  <c:v>-1.11</c:v>
                </c:pt>
                <c:pt idx="24">
                  <c:v>-1.07</c:v>
                </c:pt>
                <c:pt idx="25">
                  <c:v>-1.08</c:v>
                </c:pt>
                <c:pt idx="26">
                  <c:v>-0.96</c:v>
                </c:pt>
                <c:pt idx="27">
                  <c:v>-0.97</c:v>
                </c:pt>
                <c:pt idx="28">
                  <c:v>-0.97</c:v>
                </c:pt>
                <c:pt idx="29">
                  <c:v>-1.04</c:v>
                </c:pt>
                <c:pt idx="30">
                  <c:v>-0.72</c:v>
                </c:pt>
                <c:pt idx="31">
                  <c:v>-0.66</c:v>
                </c:pt>
                <c:pt idx="32">
                  <c:v>-0.59</c:v>
                </c:pt>
                <c:pt idx="33">
                  <c:v>-0.66</c:v>
                </c:pt>
                <c:pt idx="34">
                  <c:v>-0.48</c:v>
                </c:pt>
                <c:pt idx="35">
                  <c:v>-0.51</c:v>
                </c:pt>
                <c:pt idx="36">
                  <c:v>-0.49</c:v>
                </c:pt>
                <c:pt idx="37">
                  <c:v>-0.57</c:v>
                </c:pt>
                <c:pt idx="38">
                  <c:v>-0.93</c:v>
                </c:pt>
                <c:pt idx="39">
                  <c:v>-0.94</c:v>
                </c:pt>
                <c:pt idx="40">
                  <c:v>-0.72</c:v>
                </c:pt>
                <c:pt idx="41">
                  <c:v>-0.47</c:v>
                </c:pt>
                <c:pt idx="42">
                  <c:v>-0.41</c:v>
                </c:pt>
                <c:pt idx="43">
                  <c:v>-0.15</c:v>
                </c:pt>
                <c:pt idx="44">
                  <c:v>-0.06</c:v>
                </c:pt>
                <c:pt idx="45">
                  <c:v>-0.08</c:v>
                </c:pt>
                <c:pt idx="46">
                  <c:v>0.01</c:v>
                </c:pt>
                <c:pt idx="47">
                  <c:v>0.26</c:v>
                </c:pt>
                <c:pt idx="48">
                  <c:v>0.24</c:v>
                </c:pt>
                <c:pt idx="49">
                  <c:v>0.23</c:v>
                </c:pt>
                <c:pt idx="50">
                  <c:v>0.11</c:v>
                </c:pt>
                <c:pt idx="51">
                  <c:v>0.22</c:v>
                </c:pt>
                <c:pt idx="52">
                  <c:v>0.39</c:v>
                </c:pt>
                <c:pt idx="53">
                  <c:v>0.67</c:v>
                </c:pt>
                <c:pt idx="54">
                  <c:v>0.57</c:v>
                </c:pt>
                <c:pt idx="55">
                  <c:v>0.54</c:v>
                </c:pt>
                <c:pt idx="56">
                  <c:v>0.72</c:v>
                </c:pt>
                <c:pt idx="57">
                  <c:v>0.57</c:v>
                </c:pt>
                <c:pt idx="58">
                  <c:v>0.43</c:v>
                </c:pt>
                <c:pt idx="59">
                  <c:v>0.14</c:v>
                </c:pt>
                <c:pt idx="60">
                  <c:v>0.37</c:v>
                </c:pt>
                <c:pt idx="61">
                  <c:v>0.37</c:v>
                </c:pt>
                <c:pt idx="62">
                  <c:v>0.43</c:v>
                </c:pt>
                <c:pt idx="63">
                  <c:v>0.47</c:v>
                </c:pt>
                <c:pt idx="64">
                  <c:v>0.73</c:v>
                </c:pt>
                <c:pt idx="65">
                  <c:v>0.91</c:v>
                </c:pt>
                <c:pt idx="66">
                  <c:v>1.07</c:v>
                </c:pt>
                <c:pt idx="67">
                  <c:v>1.32</c:v>
                </c:pt>
                <c:pt idx="68">
                  <c:v>1.68</c:v>
                </c:pt>
                <c:pt idx="69">
                  <c:v>1.62</c:v>
                </c:pt>
                <c:pt idx="70">
                  <c:v>1.59</c:v>
                </c:pt>
                <c:pt idx="71">
                  <c:v>1.69</c:v>
                </c:pt>
                <c:pt idx="72">
                  <c:v>1.51</c:v>
                </c:pt>
                <c:pt idx="73">
                  <c:v>1.69</c:v>
                </c:pt>
                <c:pt idx="74">
                  <c:v>1.43</c:v>
                </c:pt>
                <c:pt idx="75">
                  <c:v>1.57</c:v>
                </c:pt>
                <c:pt idx="76">
                  <c:v>1.36</c:v>
                </c:pt>
                <c:pt idx="77">
                  <c:v>1.08</c:v>
                </c:pt>
                <c:pt idx="78">
                  <c:v>1.31</c:v>
                </c:pt>
                <c:pt idx="79">
                  <c:v>1.35</c:v>
                </c:pt>
                <c:pt idx="80">
                  <c:v>1.55</c:v>
                </c:pt>
                <c:pt idx="81">
                  <c:v>1.58</c:v>
                </c:pt>
                <c:pt idx="82">
                  <c:v>1.34</c:v>
                </c:pt>
                <c:pt idx="83">
                  <c:v>1.31</c:v>
                </c:pt>
                <c:pt idx="84">
                  <c:v>1.25</c:v>
                </c:pt>
                <c:pt idx="85">
                  <c:v>1.19</c:v>
                </c:pt>
                <c:pt idx="86">
                  <c:v>1.31</c:v>
                </c:pt>
                <c:pt idx="87">
                  <c:v>1.41</c:v>
                </c:pt>
                <c:pt idx="88">
                  <c:v>1.46</c:v>
                </c:pt>
                <c:pt idx="89">
                  <c:v>1.57</c:v>
                </c:pt>
                <c:pt idx="90">
                  <c:v>1.45</c:v>
                </c:pt>
                <c:pt idx="91">
                  <c:v>1.44</c:v>
                </c:pt>
                <c:pt idx="92">
                  <c:v>1.29</c:v>
                </c:pt>
                <c:pt idx="93">
                  <c:v>1.16</c:v>
                </c:pt>
                <c:pt idx="94">
                  <c:v>1.16</c:v>
                </c:pt>
                <c:pt idx="95">
                  <c:v>1.14</c:v>
                </c:pt>
                <c:pt idx="96">
                  <c:v>1.22</c:v>
                </c:pt>
                <c:pt idx="97">
                  <c:v>1.29</c:v>
                </c:pt>
                <c:pt idx="98">
                  <c:v>1.26</c:v>
                </c:pt>
                <c:pt idx="99">
                  <c:v>1.23</c:v>
                </c:pt>
                <c:pt idx="100">
                  <c:v>1.28</c:v>
                </c:pt>
                <c:pt idx="101">
                  <c:v>1.46</c:v>
                </c:pt>
                <c:pt idx="102">
                  <c:v>1.57</c:v>
                </c:pt>
                <c:pt idx="103">
                  <c:v>1.51</c:v>
                </c:pt>
                <c:pt idx="104">
                  <c:v>1.55</c:v>
                </c:pt>
                <c:pt idx="105">
                  <c:v>1.55</c:v>
                </c:pt>
                <c:pt idx="106">
                  <c:v>1.53</c:v>
                </c:pt>
                <c:pt idx="107">
                  <c:v>1.59</c:v>
                </c:pt>
                <c:pt idx="108">
                  <c:v>1.79</c:v>
                </c:pt>
                <c:pt idx="109">
                  <c:v>1.59</c:v>
                </c:pt>
                <c:pt idx="110">
                  <c:v>1.49</c:v>
                </c:pt>
                <c:pt idx="111">
                  <c:v>1.58</c:v>
                </c:pt>
                <c:pt idx="112">
                  <c:v>1.67</c:v>
                </c:pt>
                <c:pt idx="113">
                  <c:v>1.8</c:v>
                </c:pt>
                <c:pt idx="114">
                  <c:v>1.94</c:v>
                </c:pt>
                <c:pt idx="115">
                  <c:v>1.92</c:v>
                </c:pt>
                <c:pt idx="116">
                  <c:v>1.92</c:v>
                </c:pt>
                <c:pt idx="117">
                  <c:v>1.93</c:v>
                </c:pt>
                <c:pt idx="118">
                  <c:v>1.98</c:v>
                </c:pt>
                <c:pt idx="119">
                  <c:v>2.07</c:v>
                </c:pt>
                <c:pt idx="120">
                  <c:v>2.24</c:v>
                </c:pt>
                <c:pt idx="121">
                  <c:v>2.47</c:v>
                </c:pt>
                <c:pt idx="122">
                  <c:v>2.29</c:v>
                </c:pt>
                <c:pt idx="123">
                  <c:v>2.46</c:v>
                </c:pt>
                <c:pt idx="124">
                  <c:v>2.42</c:v>
                </c:pt>
                <c:pt idx="125">
                  <c:v>2.18</c:v>
                </c:pt>
                <c:pt idx="126">
                  <c:v>2.29</c:v>
                </c:pt>
                <c:pt idx="127">
                  <c:v>2.16</c:v>
                </c:pt>
                <c:pt idx="128">
                  <c:v>2.21</c:v>
                </c:pt>
                <c:pt idx="129">
                  <c:v>2</c:v>
                </c:pt>
                <c:pt idx="130">
                  <c:v>2.02</c:v>
                </c:pt>
                <c:pt idx="131">
                  <c:v>1.69</c:v>
                </c:pt>
                <c:pt idx="132">
                  <c:v>1.71</c:v>
                </c:pt>
                <c:pt idx="133">
                  <c:v>1.72</c:v>
                </c:pt>
                <c:pt idx="134">
                  <c:v>1.83</c:v>
                </c:pt>
                <c:pt idx="135">
                  <c:v>1.69</c:v>
                </c:pt>
                <c:pt idx="136">
                  <c:v>1.81</c:v>
                </c:pt>
                <c:pt idx="137">
                  <c:v>1.85</c:v>
                </c:pt>
                <c:pt idx="138">
                  <c:v>1.82</c:v>
                </c:pt>
                <c:pt idx="139">
                  <c:v>1.92</c:v>
                </c:pt>
                <c:pt idx="140">
                  <c:v>1.97</c:v>
                </c:pt>
                <c:pt idx="141">
                  <c:v>1.96</c:v>
                </c:pt>
                <c:pt idx="142">
                  <c:v>1.87</c:v>
                </c:pt>
                <c:pt idx="143">
                  <c:v>1.81</c:v>
                </c:pt>
                <c:pt idx="144">
                  <c:v>1.99</c:v>
                </c:pt>
                <c:pt idx="145">
                  <c:v>1.87</c:v>
                </c:pt>
                <c:pt idx="146">
                  <c:v>1.88</c:v>
                </c:pt>
                <c:pt idx="147">
                  <c:v>2.02</c:v>
                </c:pt>
                <c:pt idx="148">
                  <c:v>2.11</c:v>
                </c:pt>
                <c:pt idx="149">
                  <c:v>2.21</c:v>
                </c:pt>
                <c:pt idx="150">
                  <c:v>2.24</c:v>
                </c:pt>
                <c:pt idx="151">
                  <c:v>2.15</c:v>
                </c:pt>
                <c:pt idx="152">
                  <c:v>2.16</c:v>
                </c:pt>
                <c:pt idx="153">
                  <c:v>2.1</c:v>
                </c:pt>
                <c:pt idx="154">
                  <c:v>2.14</c:v>
                </c:pt>
                <c:pt idx="155">
                  <c:v>2.16</c:v>
                </c:pt>
                <c:pt idx="156">
                  <c:v>2.13</c:v>
                </c:pt>
                <c:pt idx="157">
                  <c:v>2.03</c:v>
                </c:pt>
                <c:pt idx="158">
                  <c:v>2.02</c:v>
                </c:pt>
                <c:pt idx="159">
                  <c:v>2.08</c:v>
                </c:pt>
                <c:pt idx="160">
                  <c:v>2</c:v>
                </c:pt>
                <c:pt idx="161">
                  <c:v>1.94</c:v>
                </c:pt>
                <c:pt idx="162">
                  <c:v>1.93</c:v>
                </c:pt>
                <c:pt idx="163">
                  <c:v>1.93</c:v>
                </c:pt>
                <c:pt idx="164">
                  <c:v>1.76</c:v>
                </c:pt>
                <c:pt idx="165">
                  <c:v>1.84</c:v>
                </c:pt>
                <c:pt idx="166">
                  <c:v>1.81</c:v>
                </c:pt>
                <c:pt idx="167">
                  <c:v>1.68</c:v>
                </c:pt>
                <c:pt idx="168">
                  <c:v>1.76</c:v>
                </c:pt>
                <c:pt idx="169">
                  <c:v>1.69</c:v>
                </c:pt>
                <c:pt idx="170">
                  <c:v>1.58</c:v>
                </c:pt>
                <c:pt idx="171">
                  <c:v>1.58</c:v>
                </c:pt>
                <c:pt idx="172">
                  <c:v>1.6</c:v>
                </c:pt>
                <c:pt idx="173">
                  <c:v>1.75</c:v>
                </c:pt>
                <c:pt idx="174">
                  <c:v>1.75</c:v>
                </c:pt>
                <c:pt idx="175">
                  <c:v>1.77</c:v>
                </c:pt>
                <c:pt idx="176">
                  <c:v>1.96</c:v>
                </c:pt>
                <c:pt idx="177">
                  <c:v>2.04</c:v>
                </c:pt>
                <c:pt idx="178">
                  <c:v>1.95</c:v>
                </c:pt>
                <c:pt idx="179">
                  <c:v>2.1</c:v>
                </c:pt>
                <c:pt idx="180">
                  <c:v>2.07</c:v>
                </c:pt>
                <c:pt idx="181">
                  <c:v>1.92</c:v>
                </c:pt>
                <c:pt idx="182">
                  <c:v>1.91</c:v>
                </c:pt>
                <c:pt idx="183">
                  <c:v>2.07</c:v>
                </c:pt>
                <c:pt idx="184">
                  <c:v>2.23</c:v>
                </c:pt>
                <c:pt idx="185">
                  <c:v>2.28</c:v>
                </c:pt>
                <c:pt idx="186">
                  <c:v>2.26</c:v>
                </c:pt>
                <c:pt idx="187">
                  <c:v>2.34</c:v>
                </c:pt>
                <c:pt idx="188">
                  <c:v>2.2</c:v>
                </c:pt>
                <c:pt idx="189">
                  <c:v>2.2</c:v>
                </c:pt>
                <c:pt idx="190">
                  <c:v>2.16</c:v>
                </c:pt>
                <c:pt idx="191">
                  <c:v>2.07</c:v>
                </c:pt>
                <c:pt idx="192">
                  <c:v>2.04</c:v>
                </c:pt>
                <c:pt idx="193">
                  <c:v>2</c:v>
                </c:pt>
                <c:pt idx="194">
                  <c:v>1.86</c:v>
                </c:pt>
                <c:pt idx="195">
                  <c:v>1.99</c:v>
                </c:pt>
                <c:pt idx="196">
                  <c:v>2.01</c:v>
                </c:pt>
                <c:pt idx="197">
                  <c:v>1.92</c:v>
                </c:pt>
                <c:pt idx="198">
                  <c:v>1.9</c:v>
                </c:pt>
                <c:pt idx="199">
                  <c:v>1.83</c:v>
                </c:pt>
                <c:pt idx="200">
                  <c:v>2.28</c:v>
                </c:pt>
                <c:pt idx="201">
                  <c:v>2.11</c:v>
                </c:pt>
                <c:pt idx="202">
                  <c:v>2.02</c:v>
                </c:pt>
                <c:pt idx="203">
                  <c:v>2.06</c:v>
                </c:pt>
                <c:pt idx="204">
                  <c:v>2.08</c:v>
                </c:pt>
                <c:pt idx="205">
                  <c:v>2.09</c:v>
                </c:pt>
                <c:pt idx="206">
                  <c:v>2.18</c:v>
                </c:pt>
                <c:pt idx="207">
                  <c:v>2.07</c:v>
                </c:pt>
                <c:pt idx="208">
                  <c:v>2.2</c:v>
                </c:pt>
                <c:pt idx="209">
                  <c:v>2.13</c:v>
                </c:pt>
                <c:pt idx="210">
                  <c:v>2.05</c:v>
                </c:pt>
                <c:pt idx="211">
                  <c:v>2</c:v>
                </c:pt>
                <c:pt idx="212">
                  <c:v>2.02</c:v>
                </c:pt>
                <c:pt idx="213">
                  <c:v>2.06</c:v>
                </c:pt>
                <c:pt idx="214">
                  <c:v>2.03</c:v>
                </c:pt>
                <c:pt idx="215">
                  <c:v>1.96</c:v>
                </c:pt>
                <c:pt idx="216">
                  <c:v>1.9</c:v>
                </c:pt>
                <c:pt idx="217">
                  <c:v>1.88</c:v>
                </c:pt>
                <c:pt idx="218">
                  <c:v>1.95</c:v>
                </c:pt>
                <c:pt idx="219">
                  <c:v>1.85</c:v>
                </c:pt>
                <c:pt idx="220">
                  <c:v>1.82</c:v>
                </c:pt>
                <c:pt idx="221">
                  <c:v>1.73</c:v>
                </c:pt>
                <c:pt idx="222">
                  <c:v>1.7</c:v>
                </c:pt>
                <c:pt idx="223">
                  <c:v>1.75</c:v>
                </c:pt>
                <c:pt idx="224">
                  <c:v>1.82</c:v>
                </c:pt>
                <c:pt idx="225">
                  <c:v>1.8</c:v>
                </c:pt>
                <c:pt idx="226">
                  <c:v>1.75</c:v>
                </c:pt>
                <c:pt idx="227">
                  <c:v>1.75</c:v>
                </c:pt>
                <c:pt idx="228">
                  <c:v>1.73</c:v>
                </c:pt>
                <c:pt idx="229">
                  <c:v>1.81</c:v>
                </c:pt>
                <c:pt idx="230">
                  <c:v>1.83</c:v>
                </c:pt>
                <c:pt idx="231">
                  <c:v>1.86</c:v>
                </c:pt>
                <c:pt idx="232">
                  <c:v>1.82</c:v>
                </c:pt>
                <c:pt idx="233">
                  <c:v>1.79</c:v>
                </c:pt>
                <c:pt idx="234">
                  <c:v>1.88</c:v>
                </c:pt>
                <c:pt idx="235">
                  <c:v>1.93</c:v>
                </c:pt>
                <c:pt idx="236">
                  <c:v>1.92</c:v>
                </c:pt>
                <c:pt idx="237">
                  <c:v>1.91</c:v>
                </c:pt>
                <c:pt idx="238">
                  <c:v>1.94</c:v>
                </c:pt>
                <c:pt idx="239">
                  <c:v>1.9</c:v>
                </c:pt>
                <c:pt idx="240">
                  <c:v>1.91</c:v>
                </c:pt>
                <c:pt idx="241">
                  <c:v>1.92</c:v>
                </c:pt>
                <c:pt idx="242">
                  <c:v>1.9</c:v>
                </c:pt>
                <c:pt idx="243">
                  <c:v>1.88</c:v>
                </c:pt>
                <c:pt idx="244">
                  <c:v>1.77</c:v>
                </c:pt>
                <c:pt idx="245">
                  <c:v>1.8</c:v>
                </c:pt>
                <c:pt idx="246">
                  <c:v>1.72</c:v>
                </c:pt>
                <c:pt idx="247">
                  <c:v>1.8</c:v>
                </c:pt>
                <c:pt idx="248">
                  <c:v>1.92</c:v>
                </c:pt>
                <c:pt idx="249">
                  <c:v>2.01</c:v>
                </c:pt>
                <c:pt idx="250">
                  <c:v>2.13</c:v>
                </c:pt>
                <c:pt idx="251">
                  <c:v>1.99</c:v>
                </c:pt>
                <c:pt idx="252">
                  <c:v>1.95</c:v>
                </c:pt>
                <c:pt idx="253">
                  <c:v>1.9</c:v>
                </c:pt>
                <c:pt idx="254">
                  <c:v>1.89</c:v>
                </c:pt>
                <c:pt idx="255">
                  <c:v>1.91</c:v>
                </c:pt>
                <c:pt idx="256">
                  <c:v>1.93</c:v>
                </c:pt>
                <c:pt idx="257">
                  <c:v>2.1</c:v>
                </c:pt>
                <c:pt idx="258">
                  <c:v>2.16</c:v>
                </c:pt>
                <c:pt idx="259">
                  <c:v>2.07</c:v>
                </c:pt>
              </c:numCache>
            </c:numRef>
          </c:val>
          <c:smooth val="0"/>
        </c:ser>
        <c:ser>
          <c:idx val="1"/>
          <c:order val="1"/>
          <c:tx>
            <c:v>52W P80</c:v>
          </c:tx>
          <c:spPr>
            <a:ln xmlns:a="http://schemas.openxmlformats.org/drawingml/2006/main" w="19050">
              <a:solidFill>
                <a:schemeClr val="bg2">
                  <a:lumMod val="25000"/>
                </a:schemeClr>
              </a:solidFill>
              <a:prstDash val="dash"/>
            </a:ln>
          </c:spPr>
          <c:marker>
            <c:symbol val="none"/>
          </c:marker>
          <c:cat>
            <c:numRef>
              <c:f>_DASH_DATA!$AE$2:$AE$261</c:f>
              <c:numCache>
                <c:formatCode>m/yyyy</c:formatCode>
                <c:ptCount val="260"/>
                <c:pt idx="0">
                  <c:v>44358</c:v>
                </c:pt>
                <c:pt idx="1">
                  <c:v>44365</c:v>
                </c:pt>
                <c:pt idx="2">
                  <c:v>44372</c:v>
                </c:pt>
                <c:pt idx="3">
                  <c:v>44379</c:v>
                </c:pt>
                <c:pt idx="4">
                  <c:v>44386</c:v>
                </c:pt>
                <c:pt idx="5">
                  <c:v>44393</c:v>
                </c:pt>
                <c:pt idx="6">
                  <c:v>44400</c:v>
                </c:pt>
                <c:pt idx="7">
                  <c:v>44407</c:v>
                </c:pt>
                <c:pt idx="8">
                  <c:v>44414</c:v>
                </c:pt>
                <c:pt idx="9">
                  <c:v>44421</c:v>
                </c:pt>
                <c:pt idx="10">
                  <c:v>44428</c:v>
                </c:pt>
                <c:pt idx="11">
                  <c:v>44435</c:v>
                </c:pt>
                <c:pt idx="12">
                  <c:v>44442</c:v>
                </c:pt>
                <c:pt idx="13">
                  <c:v>44449</c:v>
                </c:pt>
                <c:pt idx="14">
                  <c:v>44456</c:v>
                </c:pt>
                <c:pt idx="15">
                  <c:v>44463</c:v>
                </c:pt>
                <c:pt idx="16">
                  <c:v>44470</c:v>
                </c:pt>
                <c:pt idx="17">
                  <c:v>44477</c:v>
                </c:pt>
                <c:pt idx="18">
                  <c:v>44484</c:v>
                </c:pt>
                <c:pt idx="19">
                  <c:v>44491</c:v>
                </c:pt>
                <c:pt idx="20">
                  <c:v>44498</c:v>
                </c:pt>
                <c:pt idx="21">
                  <c:v>44505</c:v>
                </c:pt>
                <c:pt idx="22">
                  <c:v>44512</c:v>
                </c:pt>
                <c:pt idx="23">
                  <c:v>44519</c:v>
                </c:pt>
                <c:pt idx="24">
                  <c:v>44526</c:v>
                </c:pt>
                <c:pt idx="25">
                  <c:v>44533</c:v>
                </c:pt>
                <c:pt idx="26">
                  <c:v>44540</c:v>
                </c:pt>
                <c:pt idx="27">
                  <c:v>44547</c:v>
                </c:pt>
                <c:pt idx="28">
                  <c:v>44554</c:v>
                </c:pt>
                <c:pt idx="29">
                  <c:v>44561</c:v>
                </c:pt>
                <c:pt idx="30">
                  <c:v>44568</c:v>
                </c:pt>
                <c:pt idx="31">
                  <c:v>44575</c:v>
                </c:pt>
                <c:pt idx="32">
                  <c:v>44582</c:v>
                </c:pt>
                <c:pt idx="33">
                  <c:v>44589</c:v>
                </c:pt>
                <c:pt idx="34">
                  <c:v>44596</c:v>
                </c:pt>
                <c:pt idx="35">
                  <c:v>44603</c:v>
                </c:pt>
                <c:pt idx="36">
                  <c:v>44610</c:v>
                </c:pt>
                <c:pt idx="37">
                  <c:v>44617</c:v>
                </c:pt>
                <c:pt idx="38">
                  <c:v>44624</c:v>
                </c:pt>
                <c:pt idx="39">
                  <c:v>44631</c:v>
                </c:pt>
                <c:pt idx="40">
                  <c:v>44638</c:v>
                </c:pt>
                <c:pt idx="41">
                  <c:v>44645</c:v>
                </c:pt>
                <c:pt idx="42">
                  <c:v>44652</c:v>
                </c:pt>
                <c:pt idx="43">
                  <c:v>44659</c:v>
                </c:pt>
                <c:pt idx="44">
                  <c:v>44666</c:v>
                </c:pt>
                <c:pt idx="45">
                  <c:v>44673</c:v>
                </c:pt>
                <c:pt idx="46">
                  <c:v>44680</c:v>
                </c:pt>
                <c:pt idx="47">
                  <c:v>44687</c:v>
                </c:pt>
                <c:pt idx="48">
                  <c:v>44694</c:v>
                </c:pt>
                <c:pt idx="49">
                  <c:v>44701</c:v>
                </c:pt>
                <c:pt idx="50">
                  <c:v>44708</c:v>
                </c:pt>
                <c:pt idx="51">
                  <c:v>44715</c:v>
                </c:pt>
                <c:pt idx="52">
                  <c:v>44722</c:v>
                </c:pt>
                <c:pt idx="53">
                  <c:v>44729</c:v>
                </c:pt>
                <c:pt idx="54">
                  <c:v>44736</c:v>
                </c:pt>
                <c:pt idx="55">
                  <c:v>44743</c:v>
                </c:pt>
                <c:pt idx="56">
                  <c:v>44750</c:v>
                </c:pt>
                <c:pt idx="57">
                  <c:v>44757</c:v>
                </c:pt>
                <c:pt idx="58">
                  <c:v>44764</c:v>
                </c:pt>
                <c:pt idx="59">
                  <c:v>44771</c:v>
                </c:pt>
                <c:pt idx="60">
                  <c:v>44778</c:v>
                </c:pt>
                <c:pt idx="61">
                  <c:v>44785</c:v>
                </c:pt>
                <c:pt idx="62">
                  <c:v>44792</c:v>
                </c:pt>
                <c:pt idx="63">
                  <c:v>44799</c:v>
                </c:pt>
                <c:pt idx="64">
                  <c:v>44806</c:v>
                </c:pt>
                <c:pt idx="65">
                  <c:v>44813</c:v>
                </c:pt>
                <c:pt idx="66">
                  <c:v>44820</c:v>
                </c:pt>
                <c:pt idx="67">
                  <c:v>44827</c:v>
                </c:pt>
                <c:pt idx="68">
                  <c:v>44834</c:v>
                </c:pt>
                <c:pt idx="69">
                  <c:v>44841</c:v>
                </c:pt>
                <c:pt idx="70">
                  <c:v>44848</c:v>
                </c:pt>
                <c:pt idx="71">
                  <c:v>44855</c:v>
                </c:pt>
                <c:pt idx="72">
                  <c:v>44862</c:v>
                </c:pt>
                <c:pt idx="73">
                  <c:v>44869</c:v>
                </c:pt>
                <c:pt idx="74">
                  <c:v>44876</c:v>
                </c:pt>
                <c:pt idx="75">
                  <c:v>44883</c:v>
                </c:pt>
                <c:pt idx="76">
                  <c:v>44890</c:v>
                </c:pt>
                <c:pt idx="77">
                  <c:v>44897</c:v>
                </c:pt>
                <c:pt idx="78">
                  <c:v>44904</c:v>
                </c:pt>
                <c:pt idx="79">
                  <c:v>44911</c:v>
                </c:pt>
                <c:pt idx="80">
                  <c:v>44918</c:v>
                </c:pt>
                <c:pt idx="81">
                  <c:v>44925</c:v>
                </c:pt>
                <c:pt idx="82">
                  <c:v>44932</c:v>
                </c:pt>
                <c:pt idx="83">
                  <c:v>44939</c:v>
                </c:pt>
                <c:pt idx="84">
                  <c:v>44946</c:v>
                </c:pt>
                <c:pt idx="85">
                  <c:v>44953</c:v>
                </c:pt>
                <c:pt idx="86">
                  <c:v>44960</c:v>
                </c:pt>
                <c:pt idx="87">
                  <c:v>44967</c:v>
                </c:pt>
                <c:pt idx="88">
                  <c:v>44974</c:v>
                </c:pt>
                <c:pt idx="89">
                  <c:v>44981</c:v>
                </c:pt>
                <c:pt idx="90">
                  <c:v>44988</c:v>
                </c:pt>
                <c:pt idx="91">
                  <c:v>44995</c:v>
                </c:pt>
                <c:pt idx="92">
                  <c:v>45002</c:v>
                </c:pt>
                <c:pt idx="93">
                  <c:v>45009</c:v>
                </c:pt>
                <c:pt idx="94">
                  <c:v>45016</c:v>
                </c:pt>
                <c:pt idx="95">
                  <c:v>45023</c:v>
                </c:pt>
                <c:pt idx="96">
                  <c:v>45030</c:v>
                </c:pt>
                <c:pt idx="97">
                  <c:v>45037</c:v>
                </c:pt>
                <c:pt idx="98">
                  <c:v>45044</c:v>
                </c:pt>
                <c:pt idx="99">
                  <c:v>45051</c:v>
                </c:pt>
                <c:pt idx="100">
                  <c:v>45058</c:v>
                </c:pt>
                <c:pt idx="101">
                  <c:v>45065</c:v>
                </c:pt>
                <c:pt idx="102">
                  <c:v>45072</c:v>
                </c:pt>
                <c:pt idx="103">
                  <c:v>45079</c:v>
                </c:pt>
                <c:pt idx="104">
                  <c:v>45086</c:v>
                </c:pt>
                <c:pt idx="105">
                  <c:v>45093</c:v>
                </c:pt>
                <c:pt idx="106">
                  <c:v>45100</c:v>
                </c:pt>
                <c:pt idx="107">
                  <c:v>45107</c:v>
                </c:pt>
                <c:pt idx="108">
                  <c:v>45114</c:v>
                </c:pt>
                <c:pt idx="109">
                  <c:v>45121</c:v>
                </c:pt>
                <c:pt idx="110">
                  <c:v>45128</c:v>
                </c:pt>
                <c:pt idx="111">
                  <c:v>45135</c:v>
                </c:pt>
                <c:pt idx="112">
                  <c:v>45142</c:v>
                </c:pt>
                <c:pt idx="113">
                  <c:v>45149</c:v>
                </c:pt>
                <c:pt idx="114">
                  <c:v>45156</c:v>
                </c:pt>
                <c:pt idx="115">
                  <c:v>45163</c:v>
                </c:pt>
                <c:pt idx="116">
                  <c:v>45170</c:v>
                </c:pt>
                <c:pt idx="117">
                  <c:v>45177</c:v>
                </c:pt>
                <c:pt idx="118">
                  <c:v>45184</c:v>
                </c:pt>
                <c:pt idx="119">
                  <c:v>45191</c:v>
                </c:pt>
                <c:pt idx="120">
                  <c:v>45198</c:v>
                </c:pt>
                <c:pt idx="121">
                  <c:v>45205</c:v>
                </c:pt>
                <c:pt idx="122">
                  <c:v>45212</c:v>
                </c:pt>
                <c:pt idx="123">
                  <c:v>45219</c:v>
                </c:pt>
                <c:pt idx="124">
                  <c:v>45226</c:v>
                </c:pt>
                <c:pt idx="125">
                  <c:v>45233</c:v>
                </c:pt>
                <c:pt idx="126">
                  <c:v>45240</c:v>
                </c:pt>
                <c:pt idx="127">
                  <c:v>45247</c:v>
                </c:pt>
                <c:pt idx="128">
                  <c:v>45254</c:v>
                </c:pt>
                <c:pt idx="129">
                  <c:v>45261</c:v>
                </c:pt>
                <c:pt idx="130">
                  <c:v>45268</c:v>
                </c:pt>
                <c:pt idx="131">
                  <c:v>45275</c:v>
                </c:pt>
                <c:pt idx="132">
                  <c:v>45282</c:v>
                </c:pt>
                <c:pt idx="133">
                  <c:v>45289</c:v>
                </c:pt>
                <c:pt idx="134">
                  <c:v>45296</c:v>
                </c:pt>
                <c:pt idx="135">
                  <c:v>45303</c:v>
                </c:pt>
                <c:pt idx="136">
                  <c:v>45310</c:v>
                </c:pt>
                <c:pt idx="137">
                  <c:v>45317</c:v>
                </c:pt>
                <c:pt idx="138">
                  <c:v>45324</c:v>
                </c:pt>
                <c:pt idx="139">
                  <c:v>45331</c:v>
                </c:pt>
                <c:pt idx="140">
                  <c:v>45338</c:v>
                </c:pt>
                <c:pt idx="141">
                  <c:v>45345</c:v>
                </c:pt>
                <c:pt idx="142">
                  <c:v>45352</c:v>
                </c:pt>
                <c:pt idx="143">
                  <c:v>45359</c:v>
                </c:pt>
                <c:pt idx="144">
                  <c:v>45366</c:v>
                </c:pt>
                <c:pt idx="145">
                  <c:v>45373</c:v>
                </c:pt>
                <c:pt idx="146">
                  <c:v>45380</c:v>
                </c:pt>
                <c:pt idx="147">
                  <c:v>45387</c:v>
                </c:pt>
                <c:pt idx="148">
                  <c:v>45394</c:v>
                </c:pt>
                <c:pt idx="149">
                  <c:v>45401</c:v>
                </c:pt>
                <c:pt idx="150">
                  <c:v>45408</c:v>
                </c:pt>
                <c:pt idx="151">
                  <c:v>45415</c:v>
                </c:pt>
                <c:pt idx="152">
                  <c:v>45422</c:v>
                </c:pt>
                <c:pt idx="153">
                  <c:v>45429</c:v>
                </c:pt>
                <c:pt idx="154">
                  <c:v>45436</c:v>
                </c:pt>
                <c:pt idx="155">
                  <c:v>45443</c:v>
                </c:pt>
                <c:pt idx="156">
                  <c:v>45450</c:v>
                </c:pt>
                <c:pt idx="157">
                  <c:v>45457</c:v>
                </c:pt>
                <c:pt idx="158">
                  <c:v>45464</c:v>
                </c:pt>
                <c:pt idx="159">
                  <c:v>45471</c:v>
                </c:pt>
                <c:pt idx="160">
                  <c:v>45478</c:v>
                </c:pt>
                <c:pt idx="161">
                  <c:v>45485</c:v>
                </c:pt>
                <c:pt idx="162">
                  <c:v>45492</c:v>
                </c:pt>
                <c:pt idx="163">
                  <c:v>45499</c:v>
                </c:pt>
                <c:pt idx="164">
                  <c:v>45506</c:v>
                </c:pt>
                <c:pt idx="165">
                  <c:v>45513</c:v>
                </c:pt>
                <c:pt idx="166">
                  <c:v>45520</c:v>
                </c:pt>
                <c:pt idx="167">
                  <c:v>45527</c:v>
                </c:pt>
                <c:pt idx="168">
                  <c:v>45534</c:v>
                </c:pt>
                <c:pt idx="169">
                  <c:v>45541</c:v>
                </c:pt>
                <c:pt idx="170">
                  <c:v>45548</c:v>
                </c:pt>
                <c:pt idx="171">
                  <c:v>45555</c:v>
                </c:pt>
                <c:pt idx="172">
                  <c:v>45562</c:v>
                </c:pt>
                <c:pt idx="173">
                  <c:v>45569</c:v>
                </c:pt>
                <c:pt idx="174">
                  <c:v>45576</c:v>
                </c:pt>
                <c:pt idx="175">
                  <c:v>45583</c:v>
                </c:pt>
                <c:pt idx="176">
                  <c:v>45590</c:v>
                </c:pt>
                <c:pt idx="177">
                  <c:v>45597</c:v>
                </c:pt>
                <c:pt idx="178">
                  <c:v>45604</c:v>
                </c:pt>
                <c:pt idx="179">
                  <c:v>45611</c:v>
                </c:pt>
                <c:pt idx="180">
                  <c:v>45618</c:v>
                </c:pt>
                <c:pt idx="181">
                  <c:v>45625</c:v>
                </c:pt>
                <c:pt idx="182">
                  <c:v>45632</c:v>
                </c:pt>
                <c:pt idx="183">
                  <c:v>45639</c:v>
                </c:pt>
                <c:pt idx="184">
                  <c:v>45646</c:v>
                </c:pt>
                <c:pt idx="185">
                  <c:v>45653</c:v>
                </c:pt>
                <c:pt idx="186">
                  <c:v>45660</c:v>
                </c:pt>
                <c:pt idx="187">
                  <c:v>45667</c:v>
                </c:pt>
                <c:pt idx="188">
                  <c:v>45674</c:v>
                </c:pt>
                <c:pt idx="189">
                  <c:v>45681</c:v>
                </c:pt>
                <c:pt idx="190">
                  <c:v>45688</c:v>
                </c:pt>
                <c:pt idx="191">
                  <c:v>45695</c:v>
                </c:pt>
                <c:pt idx="192">
                  <c:v>45702</c:v>
                </c:pt>
                <c:pt idx="193">
                  <c:v>45709</c:v>
                </c:pt>
                <c:pt idx="194">
                  <c:v>45716</c:v>
                </c:pt>
                <c:pt idx="195">
                  <c:v>45723</c:v>
                </c:pt>
                <c:pt idx="196">
                  <c:v>45730</c:v>
                </c:pt>
                <c:pt idx="197">
                  <c:v>45737</c:v>
                </c:pt>
                <c:pt idx="198">
                  <c:v>45744</c:v>
                </c:pt>
                <c:pt idx="199">
                  <c:v>45751</c:v>
                </c:pt>
                <c:pt idx="200">
                  <c:v>45758</c:v>
                </c:pt>
                <c:pt idx="201">
                  <c:v>45765</c:v>
                </c:pt>
                <c:pt idx="202">
                  <c:v>45772</c:v>
                </c:pt>
                <c:pt idx="203">
                  <c:v>45779</c:v>
                </c:pt>
                <c:pt idx="204">
                  <c:v>45786</c:v>
                </c:pt>
                <c:pt idx="205">
                  <c:v>45793</c:v>
                </c:pt>
                <c:pt idx="206">
                  <c:v>45800</c:v>
                </c:pt>
                <c:pt idx="207">
                  <c:v>45807</c:v>
                </c:pt>
                <c:pt idx="208">
                  <c:v>45814</c:v>
                </c:pt>
                <c:pt idx="209">
                  <c:v>45821</c:v>
                </c:pt>
                <c:pt idx="210">
                  <c:v>45828</c:v>
                </c:pt>
                <c:pt idx="211">
                  <c:v>45835</c:v>
                </c:pt>
                <c:pt idx="212">
                  <c:v>45842</c:v>
                </c:pt>
                <c:pt idx="213">
                  <c:v>45849</c:v>
                </c:pt>
                <c:pt idx="214">
                  <c:v>45856</c:v>
                </c:pt>
                <c:pt idx="215">
                  <c:v>45863</c:v>
                </c:pt>
                <c:pt idx="216">
                  <c:v>45870</c:v>
                </c:pt>
                <c:pt idx="217">
                  <c:v>45877</c:v>
                </c:pt>
                <c:pt idx="218">
                  <c:v>45884</c:v>
                </c:pt>
                <c:pt idx="219">
                  <c:v>45891</c:v>
                </c:pt>
                <c:pt idx="220">
                  <c:v>45898</c:v>
                </c:pt>
                <c:pt idx="221">
                  <c:v>45905</c:v>
                </c:pt>
                <c:pt idx="222">
                  <c:v>45912</c:v>
                </c:pt>
                <c:pt idx="223">
                  <c:v>45919</c:v>
                </c:pt>
                <c:pt idx="224">
                  <c:v>45926</c:v>
                </c:pt>
                <c:pt idx="225">
                  <c:v>45933</c:v>
                </c:pt>
                <c:pt idx="226">
                  <c:v>45940</c:v>
                </c:pt>
                <c:pt idx="227">
                  <c:v>45947</c:v>
                </c:pt>
                <c:pt idx="228">
                  <c:v>45954</c:v>
                </c:pt>
                <c:pt idx="229">
                  <c:v>45961</c:v>
                </c:pt>
                <c:pt idx="230">
                  <c:v>45968</c:v>
                </c:pt>
                <c:pt idx="231">
                  <c:v>45975</c:v>
                </c:pt>
                <c:pt idx="232">
                  <c:v>45982</c:v>
                </c:pt>
                <c:pt idx="233">
                  <c:v>45989</c:v>
                </c:pt>
                <c:pt idx="234">
                  <c:v>45996</c:v>
                </c:pt>
                <c:pt idx="235">
                  <c:v>46003</c:v>
                </c:pt>
                <c:pt idx="236">
                  <c:v>46010</c:v>
                </c:pt>
                <c:pt idx="237">
                  <c:v>46017</c:v>
                </c:pt>
                <c:pt idx="238">
                  <c:v>46024</c:v>
                </c:pt>
                <c:pt idx="239">
                  <c:v>46031</c:v>
                </c:pt>
                <c:pt idx="240">
                  <c:v>46038</c:v>
                </c:pt>
                <c:pt idx="241">
                  <c:v>46045</c:v>
                </c:pt>
                <c:pt idx="242">
                  <c:v>46052</c:v>
                </c:pt>
                <c:pt idx="243">
                  <c:v>46059</c:v>
                </c:pt>
                <c:pt idx="244">
                  <c:v>46066</c:v>
                </c:pt>
                <c:pt idx="245">
                  <c:v>46073</c:v>
                </c:pt>
                <c:pt idx="246">
                  <c:v>46080</c:v>
                </c:pt>
                <c:pt idx="247">
                  <c:v>46087</c:v>
                </c:pt>
                <c:pt idx="248">
                  <c:v>46094</c:v>
                </c:pt>
                <c:pt idx="249">
                  <c:v>46101</c:v>
                </c:pt>
                <c:pt idx="250">
                  <c:v>46108</c:v>
                </c:pt>
                <c:pt idx="251">
                  <c:v>46115</c:v>
                </c:pt>
                <c:pt idx="252">
                  <c:v>46122</c:v>
                </c:pt>
                <c:pt idx="253">
                  <c:v>46129</c:v>
                </c:pt>
                <c:pt idx="254">
                  <c:v>46136</c:v>
                </c:pt>
                <c:pt idx="255">
                  <c:v>46143</c:v>
                </c:pt>
                <c:pt idx="256">
                  <c:v>46150</c:v>
                </c:pt>
                <c:pt idx="257">
                  <c:v>46157</c:v>
                </c:pt>
                <c:pt idx="258">
                  <c:v>46164</c:v>
                </c:pt>
                <c:pt idx="259">
                  <c:v>46171</c:v>
                </c:pt>
              </c:numCache>
            </c:numRef>
          </c:cat>
          <c:val>
            <c:numRef>
              <c:f>_DASH_DATA!$AG$2:$AG$261</c:f>
              <c:numCache>
                <c:formatCode>General</c:formatCode>
                <c:ptCount val="260"/>
                <c:pt idx="0">
                  <c:v>-0.76</c:v>
                </c:pt>
                <c:pt idx="1">
                  <c:v>-0.76</c:v>
                </c:pt>
                <c:pt idx="2">
                  <c:v>-0.762</c:v>
                </c:pt>
                <c:pt idx="3">
                  <c:v>-0.7739999999999999</c:v>
                </c:pt>
                <c:pt idx="4">
                  <c:v>-0.792</c:v>
                </c:pt>
                <c:pt idx="5">
                  <c:v>-0.792</c:v>
                </c:pt>
                <c:pt idx="6">
                  <c:v>-0.792</c:v>
                </c:pt>
                <c:pt idx="7">
                  <c:v>-0.792</c:v>
                </c:pt>
                <c:pt idx="8">
                  <c:v>-0.792</c:v>
                </c:pt>
                <c:pt idx="9">
                  <c:v>-0.792</c:v>
                </c:pt>
                <c:pt idx="10">
                  <c:v>-0.792</c:v>
                </c:pt>
                <c:pt idx="11">
                  <c:v>-0.792</c:v>
                </c:pt>
                <c:pt idx="12">
                  <c:v>-0.792</c:v>
                </c:pt>
                <c:pt idx="13">
                  <c:v>-0.792</c:v>
                </c:pt>
                <c:pt idx="14">
                  <c:v>-0.792</c:v>
                </c:pt>
                <c:pt idx="15">
                  <c:v>-0.792</c:v>
                </c:pt>
                <c:pt idx="16">
                  <c:v>-0.792</c:v>
                </c:pt>
                <c:pt idx="17">
                  <c:v>-0.792</c:v>
                </c:pt>
                <c:pt idx="18">
                  <c:v>-0.792</c:v>
                </c:pt>
                <c:pt idx="19">
                  <c:v>-0.792</c:v>
                </c:pt>
                <c:pt idx="20">
                  <c:v>-0.792</c:v>
                </c:pt>
                <c:pt idx="21">
                  <c:v>-0.792</c:v>
                </c:pt>
                <c:pt idx="22">
                  <c:v>-0.792</c:v>
                </c:pt>
                <c:pt idx="23">
                  <c:v>-0.792</c:v>
                </c:pt>
                <c:pt idx="24">
                  <c:v>-0.792</c:v>
                </c:pt>
                <c:pt idx="25">
                  <c:v>-0.792</c:v>
                </c:pt>
                <c:pt idx="26">
                  <c:v>-0.792</c:v>
                </c:pt>
                <c:pt idx="27">
                  <c:v>-0.792</c:v>
                </c:pt>
                <c:pt idx="28">
                  <c:v>-0.792</c:v>
                </c:pt>
                <c:pt idx="29">
                  <c:v>-0.792</c:v>
                </c:pt>
                <c:pt idx="30">
                  <c:v>-0.7739999999999999</c:v>
                </c:pt>
                <c:pt idx="31">
                  <c:v>-0.762</c:v>
                </c:pt>
                <c:pt idx="32">
                  <c:v>-0.76</c:v>
                </c:pt>
                <c:pt idx="33">
                  <c:v>-0.7279999999999998</c:v>
                </c:pt>
                <c:pt idx="34">
                  <c:v>-0.712</c:v>
                </c:pt>
                <c:pt idx="35">
                  <c:v>-0.6779999999999998</c:v>
                </c:pt>
                <c:pt idx="36">
                  <c:v>-0.662</c:v>
                </c:pt>
                <c:pt idx="37">
                  <c:v>-0.66</c:v>
                </c:pt>
                <c:pt idx="38">
                  <c:v>-0.662</c:v>
                </c:pt>
                <c:pt idx="39">
                  <c:v>-0.6799999999999998</c:v>
                </c:pt>
                <c:pt idx="40">
                  <c:v>-0.72</c:v>
                </c:pt>
                <c:pt idx="41">
                  <c:v>-0.72</c:v>
                </c:pt>
                <c:pt idx="42">
                  <c:v>-0.72</c:v>
                </c:pt>
                <c:pt idx="43">
                  <c:v>-0.72</c:v>
                </c:pt>
                <c:pt idx="44">
                  <c:v>-0.6719999999999997</c:v>
                </c:pt>
                <c:pt idx="45">
                  <c:v>-0.66</c:v>
                </c:pt>
                <c:pt idx="46">
                  <c:v>-0.6039999999999996</c:v>
                </c:pt>
                <c:pt idx="47">
                  <c:v>-0.5739999999999998</c:v>
                </c:pt>
                <c:pt idx="48">
                  <c:v>-0.5219999999999998</c:v>
                </c:pt>
                <c:pt idx="49">
                  <c:v>-0.4939999999999999</c:v>
                </c:pt>
                <c:pt idx="50">
                  <c:v>-0.4819999999999999</c:v>
                </c:pt>
                <c:pt idx="51">
                  <c:v>-0.4719999999999999</c:v>
                </c:pt>
                <c:pt idx="52">
                  <c:v>-0.4219999999999997</c:v>
                </c:pt>
                <c:pt idx="53">
                  <c:v>-0.2019999999999988</c:v>
                </c:pt>
                <c:pt idx="54">
                  <c:v>-0.0939999999999997</c:v>
                </c:pt>
                <c:pt idx="55">
                  <c:v>-0.06399999999999992</c:v>
                </c:pt>
                <c:pt idx="56">
                  <c:v>-0.003999999999999705</c:v>
                </c:pt>
                <c:pt idx="57">
                  <c:v>0.09000000000000043</c:v>
                </c:pt>
                <c:pt idx="58">
                  <c:v>0.1980000000000005</c:v>
                </c:pt>
                <c:pt idx="59">
                  <c:v>0.2040000000000003</c:v>
                </c:pt>
                <c:pt idx="60">
                  <c:v>0.2280000000000001</c:v>
                </c:pt>
                <c:pt idx="61">
                  <c:v>0.238</c:v>
                </c:pt>
                <c:pt idx="62">
                  <c:v>0.2560000000000001</c:v>
                </c:pt>
                <c:pt idx="63">
                  <c:v>0.3480000000000005</c:v>
                </c:pt>
                <c:pt idx="64">
                  <c:v>0.37</c:v>
                </c:pt>
                <c:pt idx="65">
                  <c:v>0.3860000000000001</c:v>
                </c:pt>
                <c:pt idx="66">
                  <c:v>0.4220000000000002</c:v>
                </c:pt>
                <c:pt idx="67">
                  <c:v>0.43</c:v>
                </c:pt>
                <c:pt idx="68">
                  <c:v>0.4620000000000001</c:v>
                </c:pt>
                <c:pt idx="69">
                  <c:v>0.5260000000000004</c:v>
                </c:pt>
                <c:pt idx="70">
                  <c:v>0.5640000000000001</c:v>
                </c:pt>
                <c:pt idx="71">
                  <c:v>0.57</c:v>
                </c:pt>
                <c:pt idx="72">
                  <c:v>0.6500000000000005</c:v>
                </c:pt>
                <c:pt idx="73">
                  <c:v>0.7100000000000002</c:v>
                </c:pt>
                <c:pt idx="74">
                  <c:v>0.728</c:v>
                </c:pt>
                <c:pt idx="75">
                  <c:v>0.8740000000000008</c:v>
                </c:pt>
                <c:pt idx="76">
                  <c:v>1.038000000000001</c:v>
                </c:pt>
                <c:pt idx="77">
                  <c:v>1.078</c:v>
                </c:pt>
                <c:pt idx="78">
                  <c:v>1.264000000000001</c:v>
                </c:pt>
                <c:pt idx="79">
                  <c:v>1.318</c:v>
                </c:pt>
                <c:pt idx="80">
                  <c:v>1.344</c:v>
                </c:pt>
                <c:pt idx="81">
                  <c:v>1.358</c:v>
                </c:pt>
                <c:pt idx="82">
                  <c:v>1.358</c:v>
                </c:pt>
                <c:pt idx="83">
                  <c:v>1.358</c:v>
                </c:pt>
                <c:pt idx="84">
                  <c:v>1.358</c:v>
                </c:pt>
                <c:pt idx="85">
                  <c:v>1.358</c:v>
                </c:pt>
                <c:pt idx="86">
                  <c:v>1.358</c:v>
                </c:pt>
                <c:pt idx="87">
                  <c:v>1.4</c:v>
                </c:pt>
                <c:pt idx="88">
                  <c:v>1.426</c:v>
                </c:pt>
                <c:pt idx="89">
                  <c:v>1.454</c:v>
                </c:pt>
                <c:pt idx="90">
                  <c:v>1.458</c:v>
                </c:pt>
                <c:pt idx="91">
                  <c:v>1.458</c:v>
                </c:pt>
                <c:pt idx="92">
                  <c:v>1.458</c:v>
                </c:pt>
                <c:pt idx="93">
                  <c:v>1.458</c:v>
                </c:pt>
                <c:pt idx="94">
                  <c:v>1.458</c:v>
                </c:pt>
                <c:pt idx="95">
                  <c:v>1.458</c:v>
                </c:pt>
                <c:pt idx="96">
                  <c:v>1.458</c:v>
                </c:pt>
                <c:pt idx="97">
                  <c:v>1.458</c:v>
                </c:pt>
                <c:pt idx="98">
                  <c:v>1.458</c:v>
                </c:pt>
                <c:pt idx="99">
                  <c:v>1.458</c:v>
                </c:pt>
                <c:pt idx="100">
                  <c:v>1.458</c:v>
                </c:pt>
                <c:pt idx="101">
                  <c:v>1.46</c:v>
                </c:pt>
                <c:pt idx="102">
                  <c:v>1.5</c:v>
                </c:pt>
                <c:pt idx="103">
                  <c:v>1.51</c:v>
                </c:pt>
                <c:pt idx="104">
                  <c:v>1.542</c:v>
                </c:pt>
                <c:pt idx="105">
                  <c:v>1.55</c:v>
                </c:pt>
                <c:pt idx="106">
                  <c:v>1.55</c:v>
                </c:pt>
                <c:pt idx="107">
                  <c:v>1.55</c:v>
                </c:pt>
                <c:pt idx="108">
                  <c:v>1.566</c:v>
                </c:pt>
                <c:pt idx="109">
                  <c:v>1.57</c:v>
                </c:pt>
                <c:pt idx="110">
                  <c:v>1.57</c:v>
                </c:pt>
                <c:pt idx="111">
                  <c:v>1.57</c:v>
                </c:pt>
                <c:pt idx="112">
                  <c:v>1.578</c:v>
                </c:pt>
                <c:pt idx="113">
                  <c:v>1.58</c:v>
                </c:pt>
                <c:pt idx="114">
                  <c:v>1.588</c:v>
                </c:pt>
                <c:pt idx="115">
                  <c:v>1.59</c:v>
                </c:pt>
                <c:pt idx="116">
                  <c:v>1.59</c:v>
                </c:pt>
                <c:pt idx="117">
                  <c:v>1.614</c:v>
                </c:pt>
                <c:pt idx="118">
                  <c:v>1.66</c:v>
                </c:pt>
                <c:pt idx="119">
                  <c:v>1.678</c:v>
                </c:pt>
                <c:pt idx="120">
                  <c:v>1.686</c:v>
                </c:pt>
                <c:pt idx="121">
                  <c:v>1.69</c:v>
                </c:pt>
                <c:pt idx="122">
                  <c:v>1.77</c:v>
                </c:pt>
                <c:pt idx="123">
                  <c:v>1.798</c:v>
                </c:pt>
                <c:pt idx="124">
                  <c:v>1.896</c:v>
                </c:pt>
                <c:pt idx="125">
                  <c:v>1.92</c:v>
                </c:pt>
                <c:pt idx="126">
                  <c:v>1.928</c:v>
                </c:pt>
                <c:pt idx="127">
                  <c:v>1.938</c:v>
                </c:pt>
                <c:pt idx="128">
                  <c:v>1.972</c:v>
                </c:pt>
                <c:pt idx="129">
                  <c:v>1.996</c:v>
                </c:pt>
                <c:pt idx="130">
                  <c:v>2.016</c:v>
                </c:pt>
                <c:pt idx="131">
                  <c:v>2.016</c:v>
                </c:pt>
                <c:pt idx="132">
                  <c:v>2.016</c:v>
                </c:pt>
                <c:pt idx="133">
                  <c:v>2.016</c:v>
                </c:pt>
                <c:pt idx="134">
                  <c:v>2.016</c:v>
                </c:pt>
                <c:pt idx="135">
                  <c:v>2.016</c:v>
                </c:pt>
                <c:pt idx="136">
                  <c:v>2.016</c:v>
                </c:pt>
                <c:pt idx="137">
                  <c:v>2.016</c:v>
                </c:pt>
                <c:pt idx="138">
                  <c:v>2.016</c:v>
                </c:pt>
                <c:pt idx="139">
                  <c:v>2.016</c:v>
                </c:pt>
                <c:pt idx="140">
                  <c:v>2.016</c:v>
                </c:pt>
                <c:pt idx="141">
                  <c:v>2.016</c:v>
                </c:pt>
                <c:pt idx="142">
                  <c:v>2.016</c:v>
                </c:pt>
                <c:pt idx="143">
                  <c:v>2.016</c:v>
                </c:pt>
                <c:pt idx="144">
                  <c:v>2.016</c:v>
                </c:pt>
                <c:pt idx="145">
                  <c:v>2.016</c:v>
                </c:pt>
                <c:pt idx="146">
                  <c:v>2.016</c:v>
                </c:pt>
                <c:pt idx="147">
                  <c:v>2.02</c:v>
                </c:pt>
                <c:pt idx="148">
                  <c:v>2.06</c:v>
                </c:pt>
                <c:pt idx="149">
                  <c:v>2.102</c:v>
                </c:pt>
                <c:pt idx="150">
                  <c:v>2.15</c:v>
                </c:pt>
                <c:pt idx="151">
                  <c:v>2.158</c:v>
                </c:pt>
                <c:pt idx="152">
                  <c:v>2.16</c:v>
                </c:pt>
                <c:pt idx="153">
                  <c:v>2.16</c:v>
                </c:pt>
                <c:pt idx="154">
                  <c:v>2.16</c:v>
                </c:pt>
                <c:pt idx="155">
                  <c:v>2.16</c:v>
                </c:pt>
                <c:pt idx="156">
                  <c:v>2.16</c:v>
                </c:pt>
                <c:pt idx="157">
                  <c:v>2.16</c:v>
                </c:pt>
                <c:pt idx="158">
                  <c:v>2.16</c:v>
                </c:pt>
                <c:pt idx="159">
                  <c:v>2.16</c:v>
                </c:pt>
                <c:pt idx="160">
                  <c:v>2.16</c:v>
                </c:pt>
                <c:pt idx="161">
                  <c:v>2.16</c:v>
                </c:pt>
                <c:pt idx="162">
                  <c:v>2.16</c:v>
                </c:pt>
                <c:pt idx="163">
                  <c:v>2.16</c:v>
                </c:pt>
                <c:pt idx="164">
                  <c:v>2.16</c:v>
                </c:pt>
                <c:pt idx="165">
                  <c:v>2.16</c:v>
                </c:pt>
                <c:pt idx="166">
                  <c:v>2.16</c:v>
                </c:pt>
                <c:pt idx="167">
                  <c:v>2.16</c:v>
                </c:pt>
                <c:pt idx="168">
                  <c:v>2.16</c:v>
                </c:pt>
                <c:pt idx="169">
                  <c:v>2.16</c:v>
                </c:pt>
                <c:pt idx="170">
                  <c:v>2.16</c:v>
                </c:pt>
                <c:pt idx="171">
                  <c:v>2.16</c:v>
                </c:pt>
                <c:pt idx="172">
                  <c:v>2.16</c:v>
                </c:pt>
                <c:pt idx="173">
                  <c:v>2.158</c:v>
                </c:pt>
                <c:pt idx="174">
                  <c:v>2.148</c:v>
                </c:pt>
                <c:pt idx="175">
                  <c:v>2.138</c:v>
                </c:pt>
                <c:pt idx="176">
                  <c:v>2.126</c:v>
                </c:pt>
                <c:pt idx="177">
                  <c:v>2.108</c:v>
                </c:pt>
                <c:pt idx="178">
                  <c:v>2.096</c:v>
                </c:pt>
                <c:pt idx="179">
                  <c:v>2.096</c:v>
                </c:pt>
                <c:pt idx="180">
                  <c:v>2.078</c:v>
                </c:pt>
                <c:pt idx="181">
                  <c:v>2.078</c:v>
                </c:pt>
                <c:pt idx="182">
                  <c:v>2.078</c:v>
                </c:pt>
                <c:pt idx="183">
                  <c:v>2.078</c:v>
                </c:pt>
                <c:pt idx="184">
                  <c:v>2.096</c:v>
                </c:pt>
                <c:pt idx="185">
                  <c:v>2.1</c:v>
                </c:pt>
                <c:pt idx="186">
                  <c:v>2.108</c:v>
                </c:pt>
                <c:pt idx="187">
                  <c:v>2.126</c:v>
                </c:pt>
                <c:pt idx="188">
                  <c:v>2.138</c:v>
                </c:pt>
                <c:pt idx="189">
                  <c:v>2.148</c:v>
                </c:pt>
                <c:pt idx="190">
                  <c:v>2.158</c:v>
                </c:pt>
                <c:pt idx="191">
                  <c:v>2.158</c:v>
                </c:pt>
                <c:pt idx="192">
                  <c:v>2.158</c:v>
                </c:pt>
                <c:pt idx="193">
                  <c:v>2.158</c:v>
                </c:pt>
                <c:pt idx="194">
                  <c:v>2.158</c:v>
                </c:pt>
                <c:pt idx="195">
                  <c:v>2.158</c:v>
                </c:pt>
                <c:pt idx="196">
                  <c:v>2.158</c:v>
                </c:pt>
                <c:pt idx="197">
                  <c:v>2.158</c:v>
                </c:pt>
                <c:pt idx="198">
                  <c:v>2.158</c:v>
                </c:pt>
                <c:pt idx="199">
                  <c:v>2.158</c:v>
                </c:pt>
                <c:pt idx="200">
                  <c:v>2.16</c:v>
                </c:pt>
                <c:pt idx="201">
                  <c:v>2.158</c:v>
                </c:pt>
                <c:pt idx="202">
                  <c:v>2.148</c:v>
                </c:pt>
                <c:pt idx="203">
                  <c:v>2.138</c:v>
                </c:pt>
                <c:pt idx="204">
                  <c:v>2.126</c:v>
                </c:pt>
                <c:pt idx="205">
                  <c:v>2.126</c:v>
                </c:pt>
                <c:pt idx="206">
                  <c:v>2.126</c:v>
                </c:pt>
                <c:pt idx="207">
                  <c:v>2.108</c:v>
                </c:pt>
                <c:pt idx="208">
                  <c:v>2.108</c:v>
                </c:pt>
                <c:pt idx="209">
                  <c:v>2.126</c:v>
                </c:pt>
                <c:pt idx="210">
                  <c:v>2.126</c:v>
                </c:pt>
                <c:pt idx="211">
                  <c:v>2.126</c:v>
                </c:pt>
                <c:pt idx="212">
                  <c:v>2.126</c:v>
                </c:pt>
                <c:pt idx="213">
                  <c:v>2.126</c:v>
                </c:pt>
                <c:pt idx="214">
                  <c:v>2.126</c:v>
                </c:pt>
                <c:pt idx="215">
                  <c:v>2.126</c:v>
                </c:pt>
                <c:pt idx="216">
                  <c:v>2.126</c:v>
                </c:pt>
                <c:pt idx="217">
                  <c:v>2.126</c:v>
                </c:pt>
                <c:pt idx="218">
                  <c:v>2.126</c:v>
                </c:pt>
                <c:pt idx="219">
                  <c:v>2.126</c:v>
                </c:pt>
                <c:pt idx="220">
                  <c:v>2.126</c:v>
                </c:pt>
                <c:pt idx="221">
                  <c:v>2.126</c:v>
                </c:pt>
                <c:pt idx="222">
                  <c:v>2.126</c:v>
                </c:pt>
                <c:pt idx="223">
                  <c:v>2.126</c:v>
                </c:pt>
                <c:pt idx="224">
                  <c:v>2.126</c:v>
                </c:pt>
                <c:pt idx="225">
                  <c:v>2.126</c:v>
                </c:pt>
                <c:pt idx="226">
                  <c:v>2.126</c:v>
                </c:pt>
                <c:pt idx="227">
                  <c:v>2.126</c:v>
                </c:pt>
                <c:pt idx="228">
                  <c:v>2.126</c:v>
                </c:pt>
                <c:pt idx="229">
                  <c:v>2.126</c:v>
                </c:pt>
                <c:pt idx="230">
                  <c:v>2.126</c:v>
                </c:pt>
                <c:pt idx="231">
                  <c:v>2.126</c:v>
                </c:pt>
                <c:pt idx="232">
                  <c:v>2.126</c:v>
                </c:pt>
                <c:pt idx="233">
                  <c:v>2.126</c:v>
                </c:pt>
                <c:pt idx="234">
                  <c:v>2.126</c:v>
                </c:pt>
                <c:pt idx="235">
                  <c:v>2.126</c:v>
                </c:pt>
                <c:pt idx="236">
                  <c:v>2.106</c:v>
                </c:pt>
                <c:pt idx="237">
                  <c:v>2.088</c:v>
                </c:pt>
                <c:pt idx="238">
                  <c:v>2.078</c:v>
                </c:pt>
                <c:pt idx="239">
                  <c:v>2.07</c:v>
                </c:pt>
                <c:pt idx="240">
                  <c:v>2.068</c:v>
                </c:pt>
                <c:pt idx="241">
                  <c:v>2.06</c:v>
                </c:pt>
                <c:pt idx="242">
                  <c:v>2.058</c:v>
                </c:pt>
                <c:pt idx="243">
                  <c:v>2.048</c:v>
                </c:pt>
                <c:pt idx="244">
                  <c:v>2.046</c:v>
                </c:pt>
                <c:pt idx="245">
                  <c:v>2.046</c:v>
                </c:pt>
                <c:pt idx="246">
                  <c:v>2.046</c:v>
                </c:pt>
                <c:pt idx="247">
                  <c:v>2.046</c:v>
                </c:pt>
                <c:pt idx="248">
                  <c:v>2.046</c:v>
                </c:pt>
                <c:pt idx="249">
                  <c:v>2.046</c:v>
                </c:pt>
                <c:pt idx="250">
                  <c:v>2.058</c:v>
                </c:pt>
                <c:pt idx="251">
                  <c:v>2.058</c:v>
                </c:pt>
                <c:pt idx="252">
                  <c:v>2.046</c:v>
                </c:pt>
                <c:pt idx="253">
                  <c:v>2.028</c:v>
                </c:pt>
                <c:pt idx="254">
                  <c:v>2.028</c:v>
                </c:pt>
                <c:pt idx="255">
                  <c:v>2.018</c:v>
                </c:pt>
                <c:pt idx="256">
                  <c:v>2.008</c:v>
                </c:pt>
                <c:pt idx="257">
                  <c:v>2.008</c:v>
                </c:pt>
                <c:pt idx="258">
                  <c:v>2.008</c:v>
                </c:pt>
                <c:pt idx="259">
                  <c:v>2.008</c:v>
                </c:pt>
              </c:numCache>
            </c:numRef>
          </c:val>
          <c:smooth val="0"/>
        </c:ser>
        <c:ser>
          <c:idx val="2"/>
          <c:order val="2"/>
          <c:tx>
            <c:v>52W P20</c:v>
          </c:tx>
          <c:spPr>
            <a:ln xmlns:a="http://schemas.openxmlformats.org/drawingml/2006/main" w="19050">
              <a:solidFill>
                <a:schemeClr val="bg2">
                  <a:lumMod val="50000"/>
                </a:schemeClr>
              </a:solidFill>
              <a:prstDash val="sysDot"/>
            </a:ln>
          </c:spPr>
          <c:marker>
            <c:symbol val="none"/>
          </c:marker>
          <c:cat>
            <c:numRef>
              <c:f>_DASH_DATA!$AE$2:$AE$261</c:f>
              <c:numCache>
                <c:formatCode>m/yyyy</c:formatCode>
                <c:ptCount val="260"/>
                <c:pt idx="0">
                  <c:v>44358</c:v>
                </c:pt>
                <c:pt idx="1">
                  <c:v>44365</c:v>
                </c:pt>
                <c:pt idx="2">
                  <c:v>44372</c:v>
                </c:pt>
                <c:pt idx="3">
                  <c:v>44379</c:v>
                </c:pt>
                <c:pt idx="4">
                  <c:v>44386</c:v>
                </c:pt>
                <c:pt idx="5">
                  <c:v>44393</c:v>
                </c:pt>
                <c:pt idx="6">
                  <c:v>44400</c:v>
                </c:pt>
                <c:pt idx="7">
                  <c:v>44407</c:v>
                </c:pt>
                <c:pt idx="8">
                  <c:v>44414</c:v>
                </c:pt>
                <c:pt idx="9">
                  <c:v>44421</c:v>
                </c:pt>
                <c:pt idx="10">
                  <c:v>44428</c:v>
                </c:pt>
                <c:pt idx="11">
                  <c:v>44435</c:v>
                </c:pt>
                <c:pt idx="12">
                  <c:v>44442</c:v>
                </c:pt>
                <c:pt idx="13">
                  <c:v>44449</c:v>
                </c:pt>
                <c:pt idx="14">
                  <c:v>44456</c:v>
                </c:pt>
                <c:pt idx="15">
                  <c:v>44463</c:v>
                </c:pt>
                <c:pt idx="16">
                  <c:v>44470</c:v>
                </c:pt>
                <c:pt idx="17">
                  <c:v>44477</c:v>
                </c:pt>
                <c:pt idx="18">
                  <c:v>44484</c:v>
                </c:pt>
                <c:pt idx="19">
                  <c:v>44491</c:v>
                </c:pt>
                <c:pt idx="20">
                  <c:v>44498</c:v>
                </c:pt>
                <c:pt idx="21">
                  <c:v>44505</c:v>
                </c:pt>
                <c:pt idx="22">
                  <c:v>44512</c:v>
                </c:pt>
                <c:pt idx="23">
                  <c:v>44519</c:v>
                </c:pt>
                <c:pt idx="24">
                  <c:v>44526</c:v>
                </c:pt>
                <c:pt idx="25">
                  <c:v>44533</c:v>
                </c:pt>
                <c:pt idx="26">
                  <c:v>44540</c:v>
                </c:pt>
                <c:pt idx="27">
                  <c:v>44547</c:v>
                </c:pt>
                <c:pt idx="28">
                  <c:v>44554</c:v>
                </c:pt>
                <c:pt idx="29">
                  <c:v>44561</c:v>
                </c:pt>
                <c:pt idx="30">
                  <c:v>44568</c:v>
                </c:pt>
                <c:pt idx="31">
                  <c:v>44575</c:v>
                </c:pt>
                <c:pt idx="32">
                  <c:v>44582</c:v>
                </c:pt>
                <c:pt idx="33">
                  <c:v>44589</c:v>
                </c:pt>
                <c:pt idx="34">
                  <c:v>44596</c:v>
                </c:pt>
                <c:pt idx="35">
                  <c:v>44603</c:v>
                </c:pt>
                <c:pt idx="36">
                  <c:v>44610</c:v>
                </c:pt>
                <c:pt idx="37">
                  <c:v>44617</c:v>
                </c:pt>
                <c:pt idx="38">
                  <c:v>44624</c:v>
                </c:pt>
                <c:pt idx="39">
                  <c:v>44631</c:v>
                </c:pt>
                <c:pt idx="40">
                  <c:v>44638</c:v>
                </c:pt>
                <c:pt idx="41">
                  <c:v>44645</c:v>
                </c:pt>
                <c:pt idx="42">
                  <c:v>44652</c:v>
                </c:pt>
                <c:pt idx="43">
                  <c:v>44659</c:v>
                </c:pt>
                <c:pt idx="44">
                  <c:v>44666</c:v>
                </c:pt>
                <c:pt idx="45">
                  <c:v>44673</c:v>
                </c:pt>
                <c:pt idx="46">
                  <c:v>44680</c:v>
                </c:pt>
                <c:pt idx="47">
                  <c:v>44687</c:v>
                </c:pt>
                <c:pt idx="48">
                  <c:v>44694</c:v>
                </c:pt>
                <c:pt idx="49">
                  <c:v>44701</c:v>
                </c:pt>
                <c:pt idx="50">
                  <c:v>44708</c:v>
                </c:pt>
                <c:pt idx="51">
                  <c:v>44715</c:v>
                </c:pt>
                <c:pt idx="52">
                  <c:v>44722</c:v>
                </c:pt>
                <c:pt idx="53">
                  <c:v>44729</c:v>
                </c:pt>
                <c:pt idx="54">
                  <c:v>44736</c:v>
                </c:pt>
                <c:pt idx="55">
                  <c:v>44743</c:v>
                </c:pt>
                <c:pt idx="56">
                  <c:v>44750</c:v>
                </c:pt>
                <c:pt idx="57">
                  <c:v>44757</c:v>
                </c:pt>
                <c:pt idx="58">
                  <c:v>44764</c:v>
                </c:pt>
                <c:pt idx="59">
                  <c:v>44771</c:v>
                </c:pt>
                <c:pt idx="60">
                  <c:v>44778</c:v>
                </c:pt>
                <c:pt idx="61">
                  <c:v>44785</c:v>
                </c:pt>
                <c:pt idx="62">
                  <c:v>44792</c:v>
                </c:pt>
                <c:pt idx="63">
                  <c:v>44799</c:v>
                </c:pt>
                <c:pt idx="64">
                  <c:v>44806</c:v>
                </c:pt>
                <c:pt idx="65">
                  <c:v>44813</c:v>
                </c:pt>
                <c:pt idx="66">
                  <c:v>44820</c:v>
                </c:pt>
                <c:pt idx="67">
                  <c:v>44827</c:v>
                </c:pt>
                <c:pt idx="68">
                  <c:v>44834</c:v>
                </c:pt>
                <c:pt idx="69">
                  <c:v>44841</c:v>
                </c:pt>
                <c:pt idx="70">
                  <c:v>44848</c:v>
                </c:pt>
                <c:pt idx="71">
                  <c:v>44855</c:v>
                </c:pt>
                <c:pt idx="72">
                  <c:v>44862</c:v>
                </c:pt>
                <c:pt idx="73">
                  <c:v>44869</c:v>
                </c:pt>
                <c:pt idx="74">
                  <c:v>44876</c:v>
                </c:pt>
                <c:pt idx="75">
                  <c:v>44883</c:v>
                </c:pt>
                <c:pt idx="76">
                  <c:v>44890</c:v>
                </c:pt>
                <c:pt idx="77">
                  <c:v>44897</c:v>
                </c:pt>
                <c:pt idx="78">
                  <c:v>44904</c:v>
                </c:pt>
                <c:pt idx="79">
                  <c:v>44911</c:v>
                </c:pt>
                <c:pt idx="80">
                  <c:v>44918</c:v>
                </c:pt>
                <c:pt idx="81">
                  <c:v>44925</c:v>
                </c:pt>
                <c:pt idx="82">
                  <c:v>44932</c:v>
                </c:pt>
                <c:pt idx="83">
                  <c:v>44939</c:v>
                </c:pt>
                <c:pt idx="84">
                  <c:v>44946</c:v>
                </c:pt>
                <c:pt idx="85">
                  <c:v>44953</c:v>
                </c:pt>
                <c:pt idx="86">
                  <c:v>44960</c:v>
                </c:pt>
                <c:pt idx="87">
                  <c:v>44967</c:v>
                </c:pt>
                <c:pt idx="88">
                  <c:v>44974</c:v>
                </c:pt>
                <c:pt idx="89">
                  <c:v>44981</c:v>
                </c:pt>
                <c:pt idx="90">
                  <c:v>44988</c:v>
                </c:pt>
                <c:pt idx="91">
                  <c:v>44995</c:v>
                </c:pt>
                <c:pt idx="92">
                  <c:v>45002</c:v>
                </c:pt>
                <c:pt idx="93">
                  <c:v>45009</c:v>
                </c:pt>
                <c:pt idx="94">
                  <c:v>45016</c:v>
                </c:pt>
                <c:pt idx="95">
                  <c:v>45023</c:v>
                </c:pt>
                <c:pt idx="96">
                  <c:v>45030</c:v>
                </c:pt>
                <c:pt idx="97">
                  <c:v>45037</c:v>
                </c:pt>
                <c:pt idx="98">
                  <c:v>45044</c:v>
                </c:pt>
                <c:pt idx="99">
                  <c:v>45051</c:v>
                </c:pt>
                <c:pt idx="100">
                  <c:v>45058</c:v>
                </c:pt>
                <c:pt idx="101">
                  <c:v>45065</c:v>
                </c:pt>
                <c:pt idx="102">
                  <c:v>45072</c:v>
                </c:pt>
                <c:pt idx="103">
                  <c:v>45079</c:v>
                </c:pt>
                <c:pt idx="104">
                  <c:v>45086</c:v>
                </c:pt>
                <c:pt idx="105">
                  <c:v>45093</c:v>
                </c:pt>
                <c:pt idx="106">
                  <c:v>45100</c:v>
                </c:pt>
                <c:pt idx="107">
                  <c:v>45107</c:v>
                </c:pt>
                <c:pt idx="108">
                  <c:v>45114</c:v>
                </c:pt>
                <c:pt idx="109">
                  <c:v>45121</c:v>
                </c:pt>
                <c:pt idx="110">
                  <c:v>45128</c:v>
                </c:pt>
                <c:pt idx="111">
                  <c:v>45135</c:v>
                </c:pt>
                <c:pt idx="112">
                  <c:v>45142</c:v>
                </c:pt>
                <c:pt idx="113">
                  <c:v>45149</c:v>
                </c:pt>
                <c:pt idx="114">
                  <c:v>45156</c:v>
                </c:pt>
                <c:pt idx="115">
                  <c:v>45163</c:v>
                </c:pt>
                <c:pt idx="116">
                  <c:v>45170</c:v>
                </c:pt>
                <c:pt idx="117">
                  <c:v>45177</c:v>
                </c:pt>
                <c:pt idx="118">
                  <c:v>45184</c:v>
                </c:pt>
                <c:pt idx="119">
                  <c:v>45191</c:v>
                </c:pt>
                <c:pt idx="120">
                  <c:v>45198</c:v>
                </c:pt>
                <c:pt idx="121">
                  <c:v>45205</c:v>
                </c:pt>
                <c:pt idx="122">
                  <c:v>45212</c:v>
                </c:pt>
                <c:pt idx="123">
                  <c:v>45219</c:v>
                </c:pt>
                <c:pt idx="124">
                  <c:v>45226</c:v>
                </c:pt>
                <c:pt idx="125">
                  <c:v>45233</c:v>
                </c:pt>
                <c:pt idx="126">
                  <c:v>45240</c:v>
                </c:pt>
                <c:pt idx="127">
                  <c:v>45247</c:v>
                </c:pt>
                <c:pt idx="128">
                  <c:v>45254</c:v>
                </c:pt>
                <c:pt idx="129">
                  <c:v>45261</c:v>
                </c:pt>
                <c:pt idx="130">
                  <c:v>45268</c:v>
                </c:pt>
                <c:pt idx="131">
                  <c:v>45275</c:v>
                </c:pt>
                <c:pt idx="132">
                  <c:v>45282</c:v>
                </c:pt>
                <c:pt idx="133">
                  <c:v>45289</c:v>
                </c:pt>
                <c:pt idx="134">
                  <c:v>45296</c:v>
                </c:pt>
                <c:pt idx="135">
                  <c:v>45303</c:v>
                </c:pt>
                <c:pt idx="136">
                  <c:v>45310</c:v>
                </c:pt>
                <c:pt idx="137">
                  <c:v>45317</c:v>
                </c:pt>
                <c:pt idx="138">
                  <c:v>45324</c:v>
                </c:pt>
                <c:pt idx="139">
                  <c:v>45331</c:v>
                </c:pt>
                <c:pt idx="140">
                  <c:v>45338</c:v>
                </c:pt>
                <c:pt idx="141">
                  <c:v>45345</c:v>
                </c:pt>
                <c:pt idx="142">
                  <c:v>45352</c:v>
                </c:pt>
                <c:pt idx="143">
                  <c:v>45359</c:v>
                </c:pt>
                <c:pt idx="144">
                  <c:v>45366</c:v>
                </c:pt>
                <c:pt idx="145">
                  <c:v>45373</c:v>
                </c:pt>
                <c:pt idx="146">
                  <c:v>45380</c:v>
                </c:pt>
                <c:pt idx="147">
                  <c:v>45387</c:v>
                </c:pt>
                <c:pt idx="148">
                  <c:v>45394</c:v>
                </c:pt>
                <c:pt idx="149">
                  <c:v>45401</c:v>
                </c:pt>
                <c:pt idx="150">
                  <c:v>45408</c:v>
                </c:pt>
                <c:pt idx="151">
                  <c:v>45415</c:v>
                </c:pt>
                <c:pt idx="152">
                  <c:v>45422</c:v>
                </c:pt>
                <c:pt idx="153">
                  <c:v>45429</c:v>
                </c:pt>
                <c:pt idx="154">
                  <c:v>45436</c:v>
                </c:pt>
                <c:pt idx="155">
                  <c:v>45443</c:v>
                </c:pt>
                <c:pt idx="156">
                  <c:v>45450</c:v>
                </c:pt>
                <c:pt idx="157">
                  <c:v>45457</c:v>
                </c:pt>
                <c:pt idx="158">
                  <c:v>45464</c:v>
                </c:pt>
                <c:pt idx="159">
                  <c:v>45471</c:v>
                </c:pt>
                <c:pt idx="160">
                  <c:v>45478</c:v>
                </c:pt>
                <c:pt idx="161">
                  <c:v>45485</c:v>
                </c:pt>
                <c:pt idx="162">
                  <c:v>45492</c:v>
                </c:pt>
                <c:pt idx="163">
                  <c:v>45499</c:v>
                </c:pt>
                <c:pt idx="164">
                  <c:v>45506</c:v>
                </c:pt>
                <c:pt idx="165">
                  <c:v>45513</c:v>
                </c:pt>
                <c:pt idx="166">
                  <c:v>45520</c:v>
                </c:pt>
                <c:pt idx="167">
                  <c:v>45527</c:v>
                </c:pt>
                <c:pt idx="168">
                  <c:v>45534</c:v>
                </c:pt>
                <c:pt idx="169">
                  <c:v>45541</c:v>
                </c:pt>
                <c:pt idx="170">
                  <c:v>45548</c:v>
                </c:pt>
                <c:pt idx="171">
                  <c:v>45555</c:v>
                </c:pt>
                <c:pt idx="172">
                  <c:v>45562</c:v>
                </c:pt>
                <c:pt idx="173">
                  <c:v>45569</c:v>
                </c:pt>
                <c:pt idx="174">
                  <c:v>45576</c:v>
                </c:pt>
                <c:pt idx="175">
                  <c:v>45583</c:v>
                </c:pt>
                <c:pt idx="176">
                  <c:v>45590</c:v>
                </c:pt>
                <c:pt idx="177">
                  <c:v>45597</c:v>
                </c:pt>
                <c:pt idx="178">
                  <c:v>45604</c:v>
                </c:pt>
                <c:pt idx="179">
                  <c:v>45611</c:v>
                </c:pt>
                <c:pt idx="180">
                  <c:v>45618</c:v>
                </c:pt>
                <c:pt idx="181">
                  <c:v>45625</c:v>
                </c:pt>
                <c:pt idx="182">
                  <c:v>45632</c:v>
                </c:pt>
                <c:pt idx="183">
                  <c:v>45639</c:v>
                </c:pt>
                <c:pt idx="184">
                  <c:v>45646</c:v>
                </c:pt>
                <c:pt idx="185">
                  <c:v>45653</c:v>
                </c:pt>
                <c:pt idx="186">
                  <c:v>45660</c:v>
                </c:pt>
                <c:pt idx="187">
                  <c:v>45667</c:v>
                </c:pt>
                <c:pt idx="188">
                  <c:v>45674</c:v>
                </c:pt>
                <c:pt idx="189">
                  <c:v>45681</c:v>
                </c:pt>
                <c:pt idx="190">
                  <c:v>45688</c:v>
                </c:pt>
                <c:pt idx="191">
                  <c:v>45695</c:v>
                </c:pt>
                <c:pt idx="192">
                  <c:v>45702</c:v>
                </c:pt>
                <c:pt idx="193">
                  <c:v>45709</c:v>
                </c:pt>
                <c:pt idx="194">
                  <c:v>45716</c:v>
                </c:pt>
                <c:pt idx="195">
                  <c:v>45723</c:v>
                </c:pt>
                <c:pt idx="196">
                  <c:v>45730</c:v>
                </c:pt>
                <c:pt idx="197">
                  <c:v>45737</c:v>
                </c:pt>
                <c:pt idx="198">
                  <c:v>45744</c:v>
                </c:pt>
                <c:pt idx="199">
                  <c:v>45751</c:v>
                </c:pt>
                <c:pt idx="200">
                  <c:v>45758</c:v>
                </c:pt>
                <c:pt idx="201">
                  <c:v>45765</c:v>
                </c:pt>
                <c:pt idx="202">
                  <c:v>45772</c:v>
                </c:pt>
                <c:pt idx="203">
                  <c:v>45779</c:v>
                </c:pt>
                <c:pt idx="204">
                  <c:v>45786</c:v>
                </c:pt>
                <c:pt idx="205">
                  <c:v>45793</c:v>
                </c:pt>
                <c:pt idx="206">
                  <c:v>45800</c:v>
                </c:pt>
                <c:pt idx="207">
                  <c:v>45807</c:v>
                </c:pt>
                <c:pt idx="208">
                  <c:v>45814</c:v>
                </c:pt>
                <c:pt idx="209">
                  <c:v>45821</c:v>
                </c:pt>
                <c:pt idx="210">
                  <c:v>45828</c:v>
                </c:pt>
                <c:pt idx="211">
                  <c:v>45835</c:v>
                </c:pt>
                <c:pt idx="212">
                  <c:v>45842</c:v>
                </c:pt>
                <c:pt idx="213">
                  <c:v>45849</c:v>
                </c:pt>
                <c:pt idx="214">
                  <c:v>45856</c:v>
                </c:pt>
                <c:pt idx="215">
                  <c:v>45863</c:v>
                </c:pt>
                <c:pt idx="216">
                  <c:v>45870</c:v>
                </c:pt>
                <c:pt idx="217">
                  <c:v>45877</c:v>
                </c:pt>
                <c:pt idx="218">
                  <c:v>45884</c:v>
                </c:pt>
                <c:pt idx="219">
                  <c:v>45891</c:v>
                </c:pt>
                <c:pt idx="220">
                  <c:v>45898</c:v>
                </c:pt>
                <c:pt idx="221">
                  <c:v>45905</c:v>
                </c:pt>
                <c:pt idx="222">
                  <c:v>45912</c:v>
                </c:pt>
                <c:pt idx="223">
                  <c:v>45919</c:v>
                </c:pt>
                <c:pt idx="224">
                  <c:v>45926</c:v>
                </c:pt>
                <c:pt idx="225">
                  <c:v>45933</c:v>
                </c:pt>
                <c:pt idx="226">
                  <c:v>45940</c:v>
                </c:pt>
                <c:pt idx="227">
                  <c:v>45947</c:v>
                </c:pt>
                <c:pt idx="228">
                  <c:v>45954</c:v>
                </c:pt>
                <c:pt idx="229">
                  <c:v>45961</c:v>
                </c:pt>
                <c:pt idx="230">
                  <c:v>45968</c:v>
                </c:pt>
                <c:pt idx="231">
                  <c:v>45975</c:v>
                </c:pt>
                <c:pt idx="232">
                  <c:v>45982</c:v>
                </c:pt>
                <c:pt idx="233">
                  <c:v>45989</c:v>
                </c:pt>
                <c:pt idx="234">
                  <c:v>45996</c:v>
                </c:pt>
                <c:pt idx="235">
                  <c:v>46003</c:v>
                </c:pt>
                <c:pt idx="236">
                  <c:v>46010</c:v>
                </c:pt>
                <c:pt idx="237">
                  <c:v>46017</c:v>
                </c:pt>
                <c:pt idx="238">
                  <c:v>46024</c:v>
                </c:pt>
                <c:pt idx="239">
                  <c:v>46031</c:v>
                </c:pt>
                <c:pt idx="240">
                  <c:v>46038</c:v>
                </c:pt>
                <c:pt idx="241">
                  <c:v>46045</c:v>
                </c:pt>
                <c:pt idx="242">
                  <c:v>46052</c:v>
                </c:pt>
                <c:pt idx="243">
                  <c:v>46059</c:v>
                </c:pt>
                <c:pt idx="244">
                  <c:v>46066</c:v>
                </c:pt>
                <c:pt idx="245">
                  <c:v>46073</c:v>
                </c:pt>
                <c:pt idx="246">
                  <c:v>46080</c:v>
                </c:pt>
                <c:pt idx="247">
                  <c:v>46087</c:v>
                </c:pt>
                <c:pt idx="248">
                  <c:v>46094</c:v>
                </c:pt>
                <c:pt idx="249">
                  <c:v>46101</c:v>
                </c:pt>
                <c:pt idx="250">
                  <c:v>46108</c:v>
                </c:pt>
                <c:pt idx="251">
                  <c:v>46115</c:v>
                </c:pt>
                <c:pt idx="252">
                  <c:v>46122</c:v>
                </c:pt>
                <c:pt idx="253">
                  <c:v>46129</c:v>
                </c:pt>
                <c:pt idx="254">
                  <c:v>46136</c:v>
                </c:pt>
                <c:pt idx="255">
                  <c:v>46143</c:v>
                </c:pt>
                <c:pt idx="256">
                  <c:v>46150</c:v>
                </c:pt>
                <c:pt idx="257">
                  <c:v>46157</c:v>
                </c:pt>
                <c:pt idx="258">
                  <c:v>46164</c:v>
                </c:pt>
                <c:pt idx="259">
                  <c:v>46171</c:v>
                </c:pt>
              </c:numCache>
            </c:numRef>
          </c:cat>
          <c:val>
            <c:numRef>
              <c:f>_DASH_DATA!$AH$2:$AH$261</c:f>
              <c:numCache>
                <c:formatCode>General</c:formatCode>
                <c:ptCount val="260"/>
                <c:pt idx="0">
                  <c:v>-0.99</c:v>
                </c:pt>
                <c:pt idx="1">
                  <c:v>-0.99</c:v>
                </c:pt>
                <c:pt idx="2">
                  <c:v>-0.99</c:v>
                </c:pt>
                <c:pt idx="3">
                  <c:v>-0.99</c:v>
                </c:pt>
                <c:pt idx="4">
                  <c:v>-0.99</c:v>
                </c:pt>
                <c:pt idx="5">
                  <c:v>-0.998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-1.008</c:v>
                </c:pt>
                <c:pt idx="10">
                  <c:v>-1.01</c:v>
                </c:pt>
                <c:pt idx="11">
                  <c:v>-1.01</c:v>
                </c:pt>
                <c:pt idx="12">
                  <c:v>-1.01</c:v>
                </c:pt>
                <c:pt idx="13">
                  <c:v>-1.018</c:v>
                </c:pt>
                <c:pt idx="14">
                  <c:v>-1.018</c:v>
                </c:pt>
                <c:pt idx="15">
                  <c:v>-1.018</c:v>
                </c:pt>
                <c:pt idx="16">
                  <c:v>-1.018</c:v>
                </c:pt>
                <c:pt idx="17">
                  <c:v>-1.018</c:v>
                </c:pt>
                <c:pt idx="18">
                  <c:v>-1.018</c:v>
                </c:pt>
                <c:pt idx="19">
                  <c:v>-1.018</c:v>
                </c:pt>
                <c:pt idx="20">
                  <c:v>-1.018</c:v>
                </c:pt>
                <c:pt idx="21">
                  <c:v>-1.02</c:v>
                </c:pt>
                <c:pt idx="22">
                  <c:v>-1.02</c:v>
                </c:pt>
                <c:pt idx="23">
                  <c:v>-1.028</c:v>
                </c:pt>
                <c:pt idx="24">
                  <c:v>-1.046</c:v>
                </c:pt>
                <c:pt idx="25">
                  <c:v>-1.05</c:v>
                </c:pt>
                <c:pt idx="26">
                  <c:v>-1.05</c:v>
                </c:pt>
                <c:pt idx="27">
                  <c:v>-1.05</c:v>
                </c:pt>
                <c:pt idx="28">
                  <c:v>-1.05</c:v>
                </c:pt>
                <c:pt idx="29">
                  <c:v>-1.048</c:v>
                </c:pt>
                <c:pt idx="30">
                  <c:v>-1.048</c:v>
                </c:pt>
                <c:pt idx="31">
                  <c:v>-1.048</c:v>
                </c:pt>
                <c:pt idx="32">
                  <c:v>-1.048</c:v>
                </c:pt>
                <c:pt idx="33">
                  <c:v>-1.048</c:v>
                </c:pt>
                <c:pt idx="34">
                  <c:v>-1.048</c:v>
                </c:pt>
                <c:pt idx="35">
                  <c:v>-1.048</c:v>
                </c:pt>
                <c:pt idx="36">
                  <c:v>-1.048</c:v>
                </c:pt>
                <c:pt idx="37">
                  <c:v>-1.048</c:v>
                </c:pt>
                <c:pt idx="38">
                  <c:v>-1.048</c:v>
                </c:pt>
                <c:pt idx="39">
                  <c:v>-1.048</c:v>
                </c:pt>
                <c:pt idx="40">
                  <c:v>-1.048</c:v>
                </c:pt>
                <c:pt idx="41">
                  <c:v>-1.048</c:v>
                </c:pt>
                <c:pt idx="42">
                  <c:v>-1.048</c:v>
                </c:pt>
                <c:pt idx="43">
                  <c:v>-1.048</c:v>
                </c:pt>
                <c:pt idx="44">
                  <c:v>-1.048</c:v>
                </c:pt>
                <c:pt idx="45">
                  <c:v>-1.048</c:v>
                </c:pt>
                <c:pt idx="46">
                  <c:v>-1.048</c:v>
                </c:pt>
                <c:pt idx="47">
                  <c:v>-1.048</c:v>
                </c:pt>
                <c:pt idx="48">
                  <c:v>-1.048</c:v>
                </c:pt>
                <c:pt idx="49">
                  <c:v>-1.048</c:v>
                </c:pt>
                <c:pt idx="50">
                  <c:v>-1.048</c:v>
                </c:pt>
                <c:pt idx="51">
                  <c:v>-1.048</c:v>
                </c:pt>
                <c:pt idx="52">
                  <c:v>-1.048</c:v>
                </c:pt>
                <c:pt idx="53">
                  <c:v>-1.048</c:v>
                </c:pt>
                <c:pt idx="54">
                  <c:v>-1.048</c:v>
                </c:pt>
                <c:pt idx="55">
                  <c:v>-1.048</c:v>
                </c:pt>
                <c:pt idx="56">
                  <c:v>-1.048</c:v>
                </c:pt>
                <c:pt idx="57">
                  <c:v>-1.048</c:v>
                </c:pt>
                <c:pt idx="58">
                  <c:v>-1.034</c:v>
                </c:pt>
                <c:pt idx="59">
                  <c:v>-1.01</c:v>
                </c:pt>
                <c:pt idx="60">
                  <c:v>-1.004</c:v>
                </c:pt>
                <c:pt idx="61">
                  <c:v>-0.978</c:v>
                </c:pt>
                <c:pt idx="62">
                  <c:v>-0.97</c:v>
                </c:pt>
                <c:pt idx="63">
                  <c:v>-0.97</c:v>
                </c:pt>
                <c:pt idx="64">
                  <c:v>-0.968</c:v>
                </c:pt>
                <c:pt idx="65">
                  <c:v>-0.96</c:v>
                </c:pt>
                <c:pt idx="66">
                  <c:v>-0.96</c:v>
                </c:pt>
                <c:pt idx="67">
                  <c:v>-0.96</c:v>
                </c:pt>
                <c:pt idx="68">
                  <c:v>-0.96</c:v>
                </c:pt>
                <c:pt idx="69">
                  <c:v>-0.96</c:v>
                </c:pt>
                <c:pt idx="70">
                  <c:v>-0.956</c:v>
                </c:pt>
                <c:pt idx="71">
                  <c:v>-0.938</c:v>
                </c:pt>
                <c:pt idx="72">
                  <c:v>-0.8879999999999998</c:v>
                </c:pt>
                <c:pt idx="73">
                  <c:v>-0.72</c:v>
                </c:pt>
                <c:pt idx="74">
                  <c:v>-0.708</c:v>
                </c:pt>
                <c:pt idx="75">
                  <c:v>-0.66</c:v>
                </c:pt>
                <c:pt idx="76">
                  <c:v>-0.6459999999999999</c:v>
                </c:pt>
                <c:pt idx="77">
                  <c:v>-0.586</c:v>
                </c:pt>
                <c:pt idx="78">
                  <c:v>-0.5579999999999999</c:v>
                </c:pt>
                <c:pt idx="79">
                  <c:v>-0.506</c:v>
                </c:pt>
                <c:pt idx="80">
                  <c:v>-0.488</c:v>
                </c:pt>
                <c:pt idx="81">
                  <c:v>-0.478</c:v>
                </c:pt>
                <c:pt idx="82">
                  <c:v>-0.4579999999999999</c:v>
                </c:pt>
                <c:pt idx="83">
                  <c:v>-0.3579999999999997</c:v>
                </c:pt>
                <c:pt idx="84">
                  <c:v>-0.1359999999999999</c:v>
                </c:pt>
                <c:pt idx="85">
                  <c:v>-0.07599999999999998</c:v>
                </c:pt>
                <c:pt idx="86">
                  <c:v>-0.04599999999999992</c:v>
                </c:pt>
                <c:pt idx="87">
                  <c:v>0.03000000000000011</c:v>
                </c:pt>
                <c:pt idx="88">
                  <c:v>0.116</c:v>
                </c:pt>
                <c:pt idx="89">
                  <c:v>0.1560000000000001</c:v>
                </c:pt>
                <c:pt idx="90">
                  <c:v>0.222</c:v>
                </c:pt>
                <c:pt idx="91">
                  <c:v>0.232</c:v>
                </c:pt>
                <c:pt idx="92">
                  <c:v>0.244</c:v>
                </c:pt>
                <c:pt idx="93">
                  <c:v>0.2820000000000001</c:v>
                </c:pt>
                <c:pt idx="94">
                  <c:v>0.37</c:v>
                </c:pt>
                <c:pt idx="95">
                  <c:v>0.374</c:v>
                </c:pt>
                <c:pt idx="96">
                  <c:v>0.3980000000000001</c:v>
                </c:pt>
                <c:pt idx="97">
                  <c:v>0.43</c:v>
                </c:pt>
                <c:pt idx="98">
                  <c:v>0.4380000000000001</c:v>
                </c:pt>
                <c:pt idx="99">
                  <c:v>0.484</c:v>
                </c:pt>
                <c:pt idx="100">
                  <c:v>0.546</c:v>
                </c:pt>
                <c:pt idx="101">
                  <c:v>0.57</c:v>
                </c:pt>
                <c:pt idx="102">
                  <c:v>0.5900000000000001</c:v>
                </c:pt>
                <c:pt idx="103">
                  <c:v>0.68</c:v>
                </c:pt>
                <c:pt idx="104">
                  <c:v>0.722</c:v>
                </c:pt>
                <c:pt idx="105">
                  <c:v>0.7660000000000002</c:v>
                </c:pt>
                <c:pt idx="106">
                  <c:v>0.9420000000000002</c:v>
                </c:pt>
                <c:pt idx="107">
                  <c:v>1.072</c:v>
                </c:pt>
                <c:pt idx="108">
                  <c:v>1.092</c:v>
                </c:pt>
                <c:pt idx="109">
                  <c:v>1.144</c:v>
                </c:pt>
                <c:pt idx="110">
                  <c:v>1.16</c:v>
                </c:pt>
                <c:pt idx="111">
                  <c:v>1.166</c:v>
                </c:pt>
                <c:pt idx="112">
                  <c:v>1.196</c:v>
                </c:pt>
                <c:pt idx="113">
                  <c:v>1.222</c:v>
                </c:pt>
                <c:pt idx="114">
                  <c:v>1.234</c:v>
                </c:pt>
                <c:pt idx="115">
                  <c:v>1.252</c:v>
                </c:pt>
                <c:pt idx="116">
                  <c:v>1.264</c:v>
                </c:pt>
                <c:pt idx="117">
                  <c:v>1.282</c:v>
                </c:pt>
                <c:pt idx="118">
                  <c:v>1.29</c:v>
                </c:pt>
                <c:pt idx="119">
                  <c:v>1.29</c:v>
                </c:pt>
                <c:pt idx="120">
                  <c:v>1.29</c:v>
                </c:pt>
                <c:pt idx="121">
                  <c:v>1.29</c:v>
                </c:pt>
                <c:pt idx="122">
                  <c:v>1.29</c:v>
                </c:pt>
                <c:pt idx="123">
                  <c:v>1.29</c:v>
                </c:pt>
                <c:pt idx="124">
                  <c:v>1.29</c:v>
                </c:pt>
                <c:pt idx="125">
                  <c:v>1.29</c:v>
                </c:pt>
                <c:pt idx="126">
                  <c:v>1.29</c:v>
                </c:pt>
                <c:pt idx="127">
                  <c:v>1.29</c:v>
                </c:pt>
                <c:pt idx="128">
                  <c:v>1.29</c:v>
                </c:pt>
                <c:pt idx="129">
                  <c:v>1.294</c:v>
                </c:pt>
                <c:pt idx="130">
                  <c:v>1.294</c:v>
                </c:pt>
                <c:pt idx="131">
                  <c:v>1.294</c:v>
                </c:pt>
                <c:pt idx="132">
                  <c:v>1.294</c:v>
                </c:pt>
                <c:pt idx="133">
                  <c:v>1.294</c:v>
                </c:pt>
                <c:pt idx="134">
                  <c:v>1.294</c:v>
                </c:pt>
                <c:pt idx="135">
                  <c:v>1.294</c:v>
                </c:pt>
                <c:pt idx="136">
                  <c:v>1.33</c:v>
                </c:pt>
                <c:pt idx="137">
                  <c:v>1.416</c:v>
                </c:pt>
                <c:pt idx="138">
                  <c:v>1.442</c:v>
                </c:pt>
                <c:pt idx="139">
                  <c:v>1.452</c:v>
                </c:pt>
                <c:pt idx="140">
                  <c:v>1.452</c:v>
                </c:pt>
                <c:pt idx="141">
                  <c:v>1.452</c:v>
                </c:pt>
                <c:pt idx="142">
                  <c:v>1.466</c:v>
                </c:pt>
                <c:pt idx="143">
                  <c:v>1.494</c:v>
                </c:pt>
                <c:pt idx="144">
                  <c:v>1.514</c:v>
                </c:pt>
                <c:pt idx="145">
                  <c:v>1.534</c:v>
                </c:pt>
                <c:pt idx="146">
                  <c:v>1.55</c:v>
                </c:pt>
                <c:pt idx="147">
                  <c:v>1.554</c:v>
                </c:pt>
                <c:pt idx="148">
                  <c:v>1.572</c:v>
                </c:pt>
                <c:pt idx="149">
                  <c:v>1.582</c:v>
                </c:pt>
                <c:pt idx="150">
                  <c:v>1.59</c:v>
                </c:pt>
                <c:pt idx="151">
                  <c:v>1.606</c:v>
                </c:pt>
                <c:pt idx="152">
                  <c:v>1.674</c:v>
                </c:pt>
                <c:pt idx="153">
                  <c:v>1.69</c:v>
                </c:pt>
                <c:pt idx="154">
                  <c:v>1.694</c:v>
                </c:pt>
                <c:pt idx="155">
                  <c:v>1.712</c:v>
                </c:pt>
                <c:pt idx="156">
                  <c:v>1.734</c:v>
                </c:pt>
                <c:pt idx="157">
                  <c:v>1.792</c:v>
                </c:pt>
                <c:pt idx="158">
                  <c:v>1.802</c:v>
                </c:pt>
                <c:pt idx="159">
                  <c:v>1.81</c:v>
                </c:pt>
                <c:pt idx="160">
                  <c:v>1.812</c:v>
                </c:pt>
                <c:pt idx="161">
                  <c:v>1.822</c:v>
                </c:pt>
                <c:pt idx="162">
                  <c:v>1.834</c:v>
                </c:pt>
                <c:pt idx="163">
                  <c:v>1.854</c:v>
                </c:pt>
                <c:pt idx="164">
                  <c:v>1.854</c:v>
                </c:pt>
                <c:pt idx="165">
                  <c:v>1.854</c:v>
                </c:pt>
                <c:pt idx="166">
                  <c:v>1.842</c:v>
                </c:pt>
                <c:pt idx="167">
                  <c:v>1.832</c:v>
                </c:pt>
                <c:pt idx="168">
                  <c:v>1.822</c:v>
                </c:pt>
                <c:pt idx="169">
                  <c:v>1.812</c:v>
                </c:pt>
                <c:pt idx="170">
                  <c:v>1.81</c:v>
                </c:pt>
                <c:pt idx="171">
                  <c:v>1.81</c:v>
                </c:pt>
                <c:pt idx="172">
                  <c:v>1.77</c:v>
                </c:pt>
                <c:pt idx="173">
                  <c:v>1.76</c:v>
                </c:pt>
                <c:pt idx="174">
                  <c:v>1.752</c:v>
                </c:pt>
                <c:pt idx="175">
                  <c:v>1.752</c:v>
                </c:pt>
                <c:pt idx="176">
                  <c:v>1.752</c:v>
                </c:pt>
                <c:pt idx="177">
                  <c:v>1.752</c:v>
                </c:pt>
                <c:pt idx="178">
                  <c:v>1.752</c:v>
                </c:pt>
                <c:pt idx="179">
                  <c:v>1.752</c:v>
                </c:pt>
                <c:pt idx="180">
                  <c:v>1.752</c:v>
                </c:pt>
                <c:pt idx="181">
                  <c:v>1.752</c:v>
                </c:pt>
                <c:pt idx="182">
                  <c:v>1.752</c:v>
                </c:pt>
                <c:pt idx="183">
                  <c:v>1.76</c:v>
                </c:pt>
                <c:pt idx="184">
                  <c:v>1.762</c:v>
                </c:pt>
                <c:pt idx="185">
                  <c:v>1.778</c:v>
                </c:pt>
                <c:pt idx="186">
                  <c:v>1.778</c:v>
                </c:pt>
                <c:pt idx="187">
                  <c:v>1.81</c:v>
                </c:pt>
                <c:pt idx="188">
                  <c:v>1.81</c:v>
                </c:pt>
                <c:pt idx="189">
                  <c:v>1.81</c:v>
                </c:pt>
                <c:pt idx="190">
                  <c:v>1.81</c:v>
                </c:pt>
                <c:pt idx="191">
                  <c:v>1.81</c:v>
                </c:pt>
                <c:pt idx="192">
                  <c:v>1.81</c:v>
                </c:pt>
                <c:pt idx="193">
                  <c:v>1.81</c:v>
                </c:pt>
                <c:pt idx="194">
                  <c:v>1.81</c:v>
                </c:pt>
                <c:pt idx="195">
                  <c:v>1.816</c:v>
                </c:pt>
                <c:pt idx="196">
                  <c:v>1.816</c:v>
                </c:pt>
                <c:pt idx="197">
                  <c:v>1.816</c:v>
                </c:pt>
                <c:pt idx="198">
                  <c:v>1.816</c:v>
                </c:pt>
                <c:pt idx="199">
                  <c:v>1.814</c:v>
                </c:pt>
                <c:pt idx="200">
                  <c:v>1.814</c:v>
                </c:pt>
                <c:pt idx="201">
                  <c:v>1.814</c:v>
                </c:pt>
                <c:pt idx="202">
                  <c:v>1.814</c:v>
                </c:pt>
                <c:pt idx="203">
                  <c:v>1.814</c:v>
                </c:pt>
                <c:pt idx="204">
                  <c:v>1.814</c:v>
                </c:pt>
                <c:pt idx="205">
                  <c:v>1.814</c:v>
                </c:pt>
                <c:pt idx="206">
                  <c:v>1.814</c:v>
                </c:pt>
                <c:pt idx="207">
                  <c:v>1.814</c:v>
                </c:pt>
                <c:pt idx="208">
                  <c:v>1.814</c:v>
                </c:pt>
                <c:pt idx="209">
                  <c:v>1.814</c:v>
                </c:pt>
                <c:pt idx="210">
                  <c:v>1.814</c:v>
                </c:pt>
                <c:pt idx="211">
                  <c:v>1.814</c:v>
                </c:pt>
                <c:pt idx="212">
                  <c:v>1.814</c:v>
                </c:pt>
                <c:pt idx="213">
                  <c:v>1.814</c:v>
                </c:pt>
                <c:pt idx="214">
                  <c:v>1.814</c:v>
                </c:pt>
                <c:pt idx="215">
                  <c:v>1.814</c:v>
                </c:pt>
                <c:pt idx="216">
                  <c:v>1.832</c:v>
                </c:pt>
                <c:pt idx="217">
                  <c:v>1.836</c:v>
                </c:pt>
                <c:pt idx="218">
                  <c:v>1.864</c:v>
                </c:pt>
                <c:pt idx="219">
                  <c:v>1.864</c:v>
                </c:pt>
                <c:pt idx="220">
                  <c:v>1.864</c:v>
                </c:pt>
                <c:pt idx="221">
                  <c:v>1.864</c:v>
                </c:pt>
                <c:pt idx="222">
                  <c:v>1.864</c:v>
                </c:pt>
                <c:pt idx="223">
                  <c:v>1.864</c:v>
                </c:pt>
                <c:pt idx="224">
                  <c:v>1.864</c:v>
                </c:pt>
                <c:pt idx="225">
                  <c:v>1.864</c:v>
                </c:pt>
                <c:pt idx="226">
                  <c:v>1.864</c:v>
                </c:pt>
                <c:pt idx="227">
                  <c:v>1.864</c:v>
                </c:pt>
                <c:pt idx="228">
                  <c:v>1.852</c:v>
                </c:pt>
                <c:pt idx="229">
                  <c:v>1.834</c:v>
                </c:pt>
                <c:pt idx="230">
                  <c:v>1.83</c:v>
                </c:pt>
                <c:pt idx="231">
                  <c:v>1.83</c:v>
                </c:pt>
                <c:pt idx="232">
                  <c:v>1.822</c:v>
                </c:pt>
                <c:pt idx="233">
                  <c:v>1.82</c:v>
                </c:pt>
                <c:pt idx="234">
                  <c:v>1.82</c:v>
                </c:pt>
                <c:pt idx="235">
                  <c:v>1.82</c:v>
                </c:pt>
                <c:pt idx="236">
                  <c:v>1.82</c:v>
                </c:pt>
                <c:pt idx="237">
                  <c:v>1.82</c:v>
                </c:pt>
                <c:pt idx="238">
                  <c:v>1.82</c:v>
                </c:pt>
                <c:pt idx="239">
                  <c:v>1.82</c:v>
                </c:pt>
                <c:pt idx="240">
                  <c:v>1.82</c:v>
                </c:pt>
                <c:pt idx="241">
                  <c:v>1.82</c:v>
                </c:pt>
                <c:pt idx="242">
                  <c:v>1.82</c:v>
                </c:pt>
                <c:pt idx="243">
                  <c:v>1.82</c:v>
                </c:pt>
                <c:pt idx="244">
                  <c:v>1.82</c:v>
                </c:pt>
                <c:pt idx="245">
                  <c:v>1.812</c:v>
                </c:pt>
                <c:pt idx="246">
                  <c:v>1.802</c:v>
                </c:pt>
                <c:pt idx="247">
                  <c:v>1.8</c:v>
                </c:pt>
                <c:pt idx="248">
                  <c:v>1.8</c:v>
                </c:pt>
                <c:pt idx="249">
                  <c:v>1.8</c:v>
                </c:pt>
                <c:pt idx="250">
                  <c:v>1.8</c:v>
                </c:pt>
                <c:pt idx="251">
                  <c:v>1.8</c:v>
                </c:pt>
                <c:pt idx="252">
                  <c:v>1.8</c:v>
                </c:pt>
                <c:pt idx="253">
                  <c:v>1.8</c:v>
                </c:pt>
                <c:pt idx="254">
                  <c:v>1.8</c:v>
                </c:pt>
                <c:pt idx="255">
                  <c:v>1.8</c:v>
                </c:pt>
                <c:pt idx="256">
                  <c:v>1.8</c:v>
                </c:pt>
                <c:pt idx="257">
                  <c:v>1.8</c:v>
                </c:pt>
                <c:pt idx="258">
                  <c:v>1.8</c:v>
                </c:pt>
                <c:pt idx="259">
                  <c:v>1.8</c:v>
                </c:pt>
              </c:numCache>
            </c:numRef>
          </c:val>
          <c:smooth val="0"/>
        </c:ser>
        <c:ser>
          <c:idx val="3"/>
          <c:order val="3"/>
          <c:tx>
            <c:v>Latest Observation</c:v>
          </c:tx>
          <c:spPr>
            <a:ln xmlns:a="http://schemas.openxmlformats.org/drawingml/2006/main" w="28575">
              <a:solidFill>
                <a:schemeClr val="accent4"/>
              </a:solidFill>
              <a:prstDash val="solid"/>
            </a:ln>
          </c:spPr>
          <c:marker>
            <c:symbol val="none"/>
          </c:marker>
          <c:cat>
            <c:numRef>
              <c:f>_DASH_DATA!$AE$2:$AE$261</c:f>
              <c:numCache>
                <c:formatCode>m/yyyy</c:formatCode>
                <c:ptCount val="260"/>
                <c:pt idx="0">
                  <c:v>44358</c:v>
                </c:pt>
                <c:pt idx="1">
                  <c:v>44365</c:v>
                </c:pt>
                <c:pt idx="2">
                  <c:v>44372</c:v>
                </c:pt>
                <c:pt idx="3">
                  <c:v>44379</c:v>
                </c:pt>
                <c:pt idx="4">
                  <c:v>44386</c:v>
                </c:pt>
                <c:pt idx="5">
                  <c:v>44393</c:v>
                </c:pt>
                <c:pt idx="6">
                  <c:v>44400</c:v>
                </c:pt>
                <c:pt idx="7">
                  <c:v>44407</c:v>
                </c:pt>
                <c:pt idx="8">
                  <c:v>44414</c:v>
                </c:pt>
                <c:pt idx="9">
                  <c:v>44421</c:v>
                </c:pt>
                <c:pt idx="10">
                  <c:v>44428</c:v>
                </c:pt>
                <c:pt idx="11">
                  <c:v>44435</c:v>
                </c:pt>
                <c:pt idx="12">
                  <c:v>44442</c:v>
                </c:pt>
                <c:pt idx="13">
                  <c:v>44449</c:v>
                </c:pt>
                <c:pt idx="14">
                  <c:v>44456</c:v>
                </c:pt>
                <c:pt idx="15">
                  <c:v>44463</c:v>
                </c:pt>
                <c:pt idx="16">
                  <c:v>44470</c:v>
                </c:pt>
                <c:pt idx="17">
                  <c:v>44477</c:v>
                </c:pt>
                <c:pt idx="18">
                  <c:v>44484</c:v>
                </c:pt>
                <c:pt idx="19">
                  <c:v>44491</c:v>
                </c:pt>
                <c:pt idx="20">
                  <c:v>44498</c:v>
                </c:pt>
                <c:pt idx="21">
                  <c:v>44505</c:v>
                </c:pt>
                <c:pt idx="22">
                  <c:v>44512</c:v>
                </c:pt>
                <c:pt idx="23">
                  <c:v>44519</c:v>
                </c:pt>
                <c:pt idx="24">
                  <c:v>44526</c:v>
                </c:pt>
                <c:pt idx="25">
                  <c:v>44533</c:v>
                </c:pt>
                <c:pt idx="26">
                  <c:v>44540</c:v>
                </c:pt>
                <c:pt idx="27">
                  <c:v>44547</c:v>
                </c:pt>
                <c:pt idx="28">
                  <c:v>44554</c:v>
                </c:pt>
                <c:pt idx="29">
                  <c:v>44561</c:v>
                </c:pt>
                <c:pt idx="30">
                  <c:v>44568</c:v>
                </c:pt>
                <c:pt idx="31">
                  <c:v>44575</c:v>
                </c:pt>
                <c:pt idx="32">
                  <c:v>44582</c:v>
                </c:pt>
                <c:pt idx="33">
                  <c:v>44589</c:v>
                </c:pt>
                <c:pt idx="34">
                  <c:v>44596</c:v>
                </c:pt>
                <c:pt idx="35">
                  <c:v>44603</c:v>
                </c:pt>
                <c:pt idx="36">
                  <c:v>44610</c:v>
                </c:pt>
                <c:pt idx="37">
                  <c:v>44617</c:v>
                </c:pt>
                <c:pt idx="38">
                  <c:v>44624</c:v>
                </c:pt>
                <c:pt idx="39">
                  <c:v>44631</c:v>
                </c:pt>
                <c:pt idx="40">
                  <c:v>44638</c:v>
                </c:pt>
                <c:pt idx="41">
                  <c:v>44645</c:v>
                </c:pt>
                <c:pt idx="42">
                  <c:v>44652</c:v>
                </c:pt>
                <c:pt idx="43">
                  <c:v>44659</c:v>
                </c:pt>
                <c:pt idx="44">
                  <c:v>44666</c:v>
                </c:pt>
                <c:pt idx="45">
                  <c:v>44673</c:v>
                </c:pt>
                <c:pt idx="46">
                  <c:v>44680</c:v>
                </c:pt>
                <c:pt idx="47">
                  <c:v>44687</c:v>
                </c:pt>
                <c:pt idx="48">
                  <c:v>44694</c:v>
                </c:pt>
                <c:pt idx="49">
                  <c:v>44701</c:v>
                </c:pt>
                <c:pt idx="50">
                  <c:v>44708</c:v>
                </c:pt>
                <c:pt idx="51">
                  <c:v>44715</c:v>
                </c:pt>
                <c:pt idx="52">
                  <c:v>44722</c:v>
                </c:pt>
                <c:pt idx="53">
                  <c:v>44729</c:v>
                </c:pt>
                <c:pt idx="54">
                  <c:v>44736</c:v>
                </c:pt>
                <c:pt idx="55">
                  <c:v>44743</c:v>
                </c:pt>
                <c:pt idx="56">
                  <c:v>44750</c:v>
                </c:pt>
                <c:pt idx="57">
                  <c:v>44757</c:v>
                </c:pt>
                <c:pt idx="58">
                  <c:v>44764</c:v>
                </c:pt>
                <c:pt idx="59">
                  <c:v>44771</c:v>
                </c:pt>
                <c:pt idx="60">
                  <c:v>44778</c:v>
                </c:pt>
                <c:pt idx="61">
                  <c:v>44785</c:v>
                </c:pt>
                <c:pt idx="62">
                  <c:v>44792</c:v>
                </c:pt>
                <c:pt idx="63">
                  <c:v>44799</c:v>
                </c:pt>
                <c:pt idx="64">
                  <c:v>44806</c:v>
                </c:pt>
                <c:pt idx="65">
                  <c:v>44813</c:v>
                </c:pt>
                <c:pt idx="66">
                  <c:v>44820</c:v>
                </c:pt>
                <c:pt idx="67">
                  <c:v>44827</c:v>
                </c:pt>
                <c:pt idx="68">
                  <c:v>44834</c:v>
                </c:pt>
                <c:pt idx="69">
                  <c:v>44841</c:v>
                </c:pt>
                <c:pt idx="70">
                  <c:v>44848</c:v>
                </c:pt>
                <c:pt idx="71">
                  <c:v>44855</c:v>
                </c:pt>
                <c:pt idx="72">
                  <c:v>44862</c:v>
                </c:pt>
                <c:pt idx="73">
                  <c:v>44869</c:v>
                </c:pt>
                <c:pt idx="74">
                  <c:v>44876</c:v>
                </c:pt>
                <c:pt idx="75">
                  <c:v>44883</c:v>
                </c:pt>
                <c:pt idx="76">
                  <c:v>44890</c:v>
                </c:pt>
                <c:pt idx="77">
                  <c:v>44897</c:v>
                </c:pt>
                <c:pt idx="78">
                  <c:v>44904</c:v>
                </c:pt>
                <c:pt idx="79">
                  <c:v>44911</c:v>
                </c:pt>
                <c:pt idx="80">
                  <c:v>44918</c:v>
                </c:pt>
                <c:pt idx="81">
                  <c:v>44925</c:v>
                </c:pt>
                <c:pt idx="82">
                  <c:v>44932</c:v>
                </c:pt>
                <c:pt idx="83">
                  <c:v>44939</c:v>
                </c:pt>
                <c:pt idx="84">
                  <c:v>44946</c:v>
                </c:pt>
                <c:pt idx="85">
                  <c:v>44953</c:v>
                </c:pt>
                <c:pt idx="86">
                  <c:v>44960</c:v>
                </c:pt>
                <c:pt idx="87">
                  <c:v>44967</c:v>
                </c:pt>
                <c:pt idx="88">
                  <c:v>44974</c:v>
                </c:pt>
                <c:pt idx="89">
                  <c:v>44981</c:v>
                </c:pt>
                <c:pt idx="90">
                  <c:v>44988</c:v>
                </c:pt>
                <c:pt idx="91">
                  <c:v>44995</c:v>
                </c:pt>
                <c:pt idx="92">
                  <c:v>45002</c:v>
                </c:pt>
                <c:pt idx="93">
                  <c:v>45009</c:v>
                </c:pt>
                <c:pt idx="94">
                  <c:v>45016</c:v>
                </c:pt>
                <c:pt idx="95">
                  <c:v>45023</c:v>
                </c:pt>
                <c:pt idx="96">
                  <c:v>45030</c:v>
                </c:pt>
                <c:pt idx="97">
                  <c:v>45037</c:v>
                </c:pt>
                <c:pt idx="98">
                  <c:v>45044</c:v>
                </c:pt>
                <c:pt idx="99">
                  <c:v>45051</c:v>
                </c:pt>
                <c:pt idx="100">
                  <c:v>45058</c:v>
                </c:pt>
                <c:pt idx="101">
                  <c:v>45065</c:v>
                </c:pt>
                <c:pt idx="102">
                  <c:v>45072</c:v>
                </c:pt>
                <c:pt idx="103">
                  <c:v>45079</c:v>
                </c:pt>
                <c:pt idx="104">
                  <c:v>45086</c:v>
                </c:pt>
                <c:pt idx="105">
                  <c:v>45093</c:v>
                </c:pt>
                <c:pt idx="106">
                  <c:v>45100</c:v>
                </c:pt>
                <c:pt idx="107">
                  <c:v>45107</c:v>
                </c:pt>
                <c:pt idx="108">
                  <c:v>45114</c:v>
                </c:pt>
                <c:pt idx="109">
                  <c:v>45121</c:v>
                </c:pt>
                <c:pt idx="110">
                  <c:v>45128</c:v>
                </c:pt>
                <c:pt idx="111">
                  <c:v>45135</c:v>
                </c:pt>
                <c:pt idx="112">
                  <c:v>45142</c:v>
                </c:pt>
                <c:pt idx="113">
                  <c:v>45149</c:v>
                </c:pt>
                <c:pt idx="114">
                  <c:v>45156</c:v>
                </c:pt>
                <c:pt idx="115">
                  <c:v>45163</c:v>
                </c:pt>
                <c:pt idx="116">
                  <c:v>45170</c:v>
                </c:pt>
                <c:pt idx="117">
                  <c:v>45177</c:v>
                </c:pt>
                <c:pt idx="118">
                  <c:v>45184</c:v>
                </c:pt>
                <c:pt idx="119">
                  <c:v>45191</c:v>
                </c:pt>
                <c:pt idx="120">
                  <c:v>45198</c:v>
                </c:pt>
                <c:pt idx="121">
                  <c:v>45205</c:v>
                </c:pt>
                <c:pt idx="122">
                  <c:v>45212</c:v>
                </c:pt>
                <c:pt idx="123">
                  <c:v>45219</c:v>
                </c:pt>
                <c:pt idx="124">
                  <c:v>45226</c:v>
                </c:pt>
                <c:pt idx="125">
                  <c:v>45233</c:v>
                </c:pt>
                <c:pt idx="126">
                  <c:v>45240</c:v>
                </c:pt>
                <c:pt idx="127">
                  <c:v>45247</c:v>
                </c:pt>
                <c:pt idx="128">
                  <c:v>45254</c:v>
                </c:pt>
                <c:pt idx="129">
                  <c:v>45261</c:v>
                </c:pt>
                <c:pt idx="130">
                  <c:v>45268</c:v>
                </c:pt>
                <c:pt idx="131">
                  <c:v>45275</c:v>
                </c:pt>
                <c:pt idx="132">
                  <c:v>45282</c:v>
                </c:pt>
                <c:pt idx="133">
                  <c:v>45289</c:v>
                </c:pt>
                <c:pt idx="134">
                  <c:v>45296</c:v>
                </c:pt>
                <c:pt idx="135">
                  <c:v>45303</c:v>
                </c:pt>
                <c:pt idx="136">
                  <c:v>45310</c:v>
                </c:pt>
                <c:pt idx="137">
                  <c:v>45317</c:v>
                </c:pt>
                <c:pt idx="138">
                  <c:v>45324</c:v>
                </c:pt>
                <c:pt idx="139">
                  <c:v>45331</c:v>
                </c:pt>
                <c:pt idx="140">
                  <c:v>45338</c:v>
                </c:pt>
                <c:pt idx="141">
                  <c:v>45345</c:v>
                </c:pt>
                <c:pt idx="142">
                  <c:v>45352</c:v>
                </c:pt>
                <c:pt idx="143">
                  <c:v>45359</c:v>
                </c:pt>
                <c:pt idx="144">
                  <c:v>45366</c:v>
                </c:pt>
                <c:pt idx="145">
                  <c:v>45373</c:v>
                </c:pt>
                <c:pt idx="146">
                  <c:v>45380</c:v>
                </c:pt>
                <c:pt idx="147">
                  <c:v>45387</c:v>
                </c:pt>
                <c:pt idx="148">
                  <c:v>45394</c:v>
                </c:pt>
                <c:pt idx="149">
                  <c:v>45401</c:v>
                </c:pt>
                <c:pt idx="150">
                  <c:v>45408</c:v>
                </c:pt>
                <c:pt idx="151">
                  <c:v>45415</c:v>
                </c:pt>
                <c:pt idx="152">
                  <c:v>45422</c:v>
                </c:pt>
                <c:pt idx="153">
                  <c:v>45429</c:v>
                </c:pt>
                <c:pt idx="154">
                  <c:v>45436</c:v>
                </c:pt>
                <c:pt idx="155">
                  <c:v>45443</c:v>
                </c:pt>
                <c:pt idx="156">
                  <c:v>45450</c:v>
                </c:pt>
                <c:pt idx="157">
                  <c:v>45457</c:v>
                </c:pt>
                <c:pt idx="158">
                  <c:v>45464</c:v>
                </c:pt>
                <c:pt idx="159">
                  <c:v>45471</c:v>
                </c:pt>
                <c:pt idx="160">
                  <c:v>45478</c:v>
                </c:pt>
                <c:pt idx="161">
                  <c:v>45485</c:v>
                </c:pt>
                <c:pt idx="162">
                  <c:v>45492</c:v>
                </c:pt>
                <c:pt idx="163">
                  <c:v>45499</c:v>
                </c:pt>
                <c:pt idx="164">
                  <c:v>45506</c:v>
                </c:pt>
                <c:pt idx="165">
                  <c:v>45513</c:v>
                </c:pt>
                <c:pt idx="166">
                  <c:v>45520</c:v>
                </c:pt>
                <c:pt idx="167">
                  <c:v>45527</c:v>
                </c:pt>
                <c:pt idx="168">
                  <c:v>45534</c:v>
                </c:pt>
                <c:pt idx="169">
                  <c:v>45541</c:v>
                </c:pt>
                <c:pt idx="170">
                  <c:v>45548</c:v>
                </c:pt>
                <c:pt idx="171">
                  <c:v>45555</c:v>
                </c:pt>
                <c:pt idx="172">
                  <c:v>45562</c:v>
                </c:pt>
                <c:pt idx="173">
                  <c:v>45569</c:v>
                </c:pt>
                <c:pt idx="174">
                  <c:v>45576</c:v>
                </c:pt>
                <c:pt idx="175">
                  <c:v>45583</c:v>
                </c:pt>
                <c:pt idx="176">
                  <c:v>45590</c:v>
                </c:pt>
                <c:pt idx="177">
                  <c:v>45597</c:v>
                </c:pt>
                <c:pt idx="178">
                  <c:v>45604</c:v>
                </c:pt>
                <c:pt idx="179">
                  <c:v>45611</c:v>
                </c:pt>
                <c:pt idx="180">
                  <c:v>45618</c:v>
                </c:pt>
                <c:pt idx="181">
                  <c:v>45625</c:v>
                </c:pt>
                <c:pt idx="182">
                  <c:v>45632</c:v>
                </c:pt>
                <c:pt idx="183">
                  <c:v>45639</c:v>
                </c:pt>
                <c:pt idx="184">
                  <c:v>45646</c:v>
                </c:pt>
                <c:pt idx="185">
                  <c:v>45653</c:v>
                </c:pt>
                <c:pt idx="186">
                  <c:v>45660</c:v>
                </c:pt>
                <c:pt idx="187">
                  <c:v>45667</c:v>
                </c:pt>
                <c:pt idx="188">
                  <c:v>45674</c:v>
                </c:pt>
                <c:pt idx="189">
                  <c:v>45681</c:v>
                </c:pt>
                <c:pt idx="190">
                  <c:v>45688</c:v>
                </c:pt>
                <c:pt idx="191">
                  <c:v>45695</c:v>
                </c:pt>
                <c:pt idx="192">
                  <c:v>45702</c:v>
                </c:pt>
                <c:pt idx="193">
                  <c:v>45709</c:v>
                </c:pt>
                <c:pt idx="194">
                  <c:v>45716</c:v>
                </c:pt>
                <c:pt idx="195">
                  <c:v>45723</c:v>
                </c:pt>
                <c:pt idx="196">
                  <c:v>45730</c:v>
                </c:pt>
                <c:pt idx="197">
                  <c:v>45737</c:v>
                </c:pt>
                <c:pt idx="198">
                  <c:v>45744</c:v>
                </c:pt>
                <c:pt idx="199">
                  <c:v>45751</c:v>
                </c:pt>
                <c:pt idx="200">
                  <c:v>45758</c:v>
                </c:pt>
                <c:pt idx="201">
                  <c:v>45765</c:v>
                </c:pt>
                <c:pt idx="202">
                  <c:v>45772</c:v>
                </c:pt>
                <c:pt idx="203">
                  <c:v>45779</c:v>
                </c:pt>
                <c:pt idx="204">
                  <c:v>45786</c:v>
                </c:pt>
                <c:pt idx="205">
                  <c:v>45793</c:v>
                </c:pt>
                <c:pt idx="206">
                  <c:v>45800</c:v>
                </c:pt>
                <c:pt idx="207">
                  <c:v>45807</c:v>
                </c:pt>
                <c:pt idx="208">
                  <c:v>45814</c:v>
                </c:pt>
                <c:pt idx="209">
                  <c:v>45821</c:v>
                </c:pt>
                <c:pt idx="210">
                  <c:v>45828</c:v>
                </c:pt>
                <c:pt idx="211">
                  <c:v>45835</c:v>
                </c:pt>
                <c:pt idx="212">
                  <c:v>45842</c:v>
                </c:pt>
                <c:pt idx="213">
                  <c:v>45849</c:v>
                </c:pt>
                <c:pt idx="214">
                  <c:v>45856</c:v>
                </c:pt>
                <c:pt idx="215">
                  <c:v>45863</c:v>
                </c:pt>
                <c:pt idx="216">
                  <c:v>45870</c:v>
                </c:pt>
                <c:pt idx="217">
                  <c:v>45877</c:v>
                </c:pt>
                <c:pt idx="218">
                  <c:v>45884</c:v>
                </c:pt>
                <c:pt idx="219">
                  <c:v>45891</c:v>
                </c:pt>
                <c:pt idx="220">
                  <c:v>45898</c:v>
                </c:pt>
                <c:pt idx="221">
                  <c:v>45905</c:v>
                </c:pt>
                <c:pt idx="222">
                  <c:v>45912</c:v>
                </c:pt>
                <c:pt idx="223">
                  <c:v>45919</c:v>
                </c:pt>
                <c:pt idx="224">
                  <c:v>45926</c:v>
                </c:pt>
                <c:pt idx="225">
                  <c:v>45933</c:v>
                </c:pt>
                <c:pt idx="226">
                  <c:v>45940</c:v>
                </c:pt>
                <c:pt idx="227">
                  <c:v>45947</c:v>
                </c:pt>
                <c:pt idx="228">
                  <c:v>45954</c:v>
                </c:pt>
                <c:pt idx="229">
                  <c:v>45961</c:v>
                </c:pt>
                <c:pt idx="230">
                  <c:v>45968</c:v>
                </c:pt>
                <c:pt idx="231">
                  <c:v>45975</c:v>
                </c:pt>
                <c:pt idx="232">
                  <c:v>45982</c:v>
                </c:pt>
                <c:pt idx="233">
                  <c:v>45989</c:v>
                </c:pt>
                <c:pt idx="234">
                  <c:v>45996</c:v>
                </c:pt>
                <c:pt idx="235">
                  <c:v>46003</c:v>
                </c:pt>
                <c:pt idx="236">
                  <c:v>46010</c:v>
                </c:pt>
                <c:pt idx="237">
                  <c:v>46017</c:v>
                </c:pt>
                <c:pt idx="238">
                  <c:v>46024</c:v>
                </c:pt>
                <c:pt idx="239">
                  <c:v>46031</c:v>
                </c:pt>
                <c:pt idx="240">
                  <c:v>46038</c:v>
                </c:pt>
                <c:pt idx="241">
                  <c:v>46045</c:v>
                </c:pt>
                <c:pt idx="242">
                  <c:v>46052</c:v>
                </c:pt>
                <c:pt idx="243">
                  <c:v>46059</c:v>
                </c:pt>
                <c:pt idx="244">
                  <c:v>46066</c:v>
                </c:pt>
                <c:pt idx="245">
                  <c:v>46073</c:v>
                </c:pt>
                <c:pt idx="246">
                  <c:v>46080</c:v>
                </c:pt>
                <c:pt idx="247">
                  <c:v>46087</c:v>
                </c:pt>
                <c:pt idx="248">
                  <c:v>46094</c:v>
                </c:pt>
                <c:pt idx="249">
                  <c:v>46101</c:v>
                </c:pt>
                <c:pt idx="250">
                  <c:v>46108</c:v>
                </c:pt>
                <c:pt idx="251">
                  <c:v>46115</c:v>
                </c:pt>
                <c:pt idx="252">
                  <c:v>46122</c:v>
                </c:pt>
                <c:pt idx="253">
                  <c:v>46129</c:v>
                </c:pt>
                <c:pt idx="254">
                  <c:v>46136</c:v>
                </c:pt>
                <c:pt idx="255">
                  <c:v>46143</c:v>
                </c:pt>
                <c:pt idx="256">
                  <c:v>46150</c:v>
                </c:pt>
                <c:pt idx="257">
                  <c:v>46157</c:v>
                </c:pt>
                <c:pt idx="258">
                  <c:v>46164</c:v>
                </c:pt>
                <c:pt idx="259">
                  <c:v>46171</c:v>
                </c:pt>
              </c:numCache>
            </c:numRef>
          </c:cat>
          <c:val>
            <c:numRef>
              <c:f>_DASH_DATA!$AI$2:$AI$261</c:f>
              <c:numCache>
                <c:formatCode>General</c:formatCode>
                <c:ptCount val="1"/>
                <c:pt idx="0">
                  <c:v>2.07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m/yyyy" sourceLinked="0"/>
        <c:majorTickMark val="none"/>
        <c:minorTickMark val="none"/>
        <c:tickLblPos val="low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  <a:prstDash val="solid"/>
          </a:ln>
        </c:spPr>
        <c:txPr>
          <a:bodyPr xmlns:a="http://schemas.openxmlformats.org/drawingml/2006/main" rot="-2700000" anchor="ctr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Real Yield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  <a:prstDash val="solid"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1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10Y Treasury Yield Context (Last 5Y)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400" b="1" i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10Y Treasury Yield</c:v>
          </c:tx>
          <c:spPr>
            <a:ln xmlns:a="http://schemas.openxmlformats.org/drawingml/2006/main" w="25400">
              <a:solidFill>
                <a:srgbClr val="002060"/>
              </a:solidFill>
              <a:prstDash val="solid"/>
            </a:ln>
          </c:spPr>
          <c:marker>
            <c:symbol val="none"/>
          </c:marker>
          <c:cat>
            <c:numRef>
              <c:f>_DASH_DATA!$Q$2:$Q$261</c:f>
              <c:numCache>
                <c:formatCode>m/yyyy</c:formatCode>
                <c:ptCount val="260"/>
                <c:pt idx="0">
                  <c:v>44358</c:v>
                </c:pt>
                <c:pt idx="1">
                  <c:v>44365</c:v>
                </c:pt>
                <c:pt idx="2">
                  <c:v>44372</c:v>
                </c:pt>
                <c:pt idx="3">
                  <c:v>44379</c:v>
                </c:pt>
                <c:pt idx="4">
                  <c:v>44386</c:v>
                </c:pt>
                <c:pt idx="5">
                  <c:v>44393</c:v>
                </c:pt>
                <c:pt idx="6">
                  <c:v>44400</c:v>
                </c:pt>
                <c:pt idx="7">
                  <c:v>44407</c:v>
                </c:pt>
                <c:pt idx="8">
                  <c:v>44414</c:v>
                </c:pt>
                <c:pt idx="9">
                  <c:v>44421</c:v>
                </c:pt>
                <c:pt idx="10">
                  <c:v>44428</c:v>
                </c:pt>
                <c:pt idx="11">
                  <c:v>44435</c:v>
                </c:pt>
                <c:pt idx="12">
                  <c:v>44442</c:v>
                </c:pt>
                <c:pt idx="13">
                  <c:v>44449</c:v>
                </c:pt>
                <c:pt idx="14">
                  <c:v>44456</c:v>
                </c:pt>
                <c:pt idx="15">
                  <c:v>44463</c:v>
                </c:pt>
                <c:pt idx="16">
                  <c:v>44470</c:v>
                </c:pt>
                <c:pt idx="17">
                  <c:v>44477</c:v>
                </c:pt>
                <c:pt idx="18">
                  <c:v>44484</c:v>
                </c:pt>
                <c:pt idx="19">
                  <c:v>44491</c:v>
                </c:pt>
                <c:pt idx="20">
                  <c:v>44498</c:v>
                </c:pt>
                <c:pt idx="21">
                  <c:v>44505</c:v>
                </c:pt>
                <c:pt idx="22">
                  <c:v>44512</c:v>
                </c:pt>
                <c:pt idx="23">
                  <c:v>44519</c:v>
                </c:pt>
                <c:pt idx="24">
                  <c:v>44526</c:v>
                </c:pt>
                <c:pt idx="25">
                  <c:v>44533</c:v>
                </c:pt>
                <c:pt idx="26">
                  <c:v>44540</c:v>
                </c:pt>
                <c:pt idx="27">
                  <c:v>44547</c:v>
                </c:pt>
                <c:pt idx="28">
                  <c:v>44554</c:v>
                </c:pt>
                <c:pt idx="29">
                  <c:v>44561</c:v>
                </c:pt>
                <c:pt idx="30">
                  <c:v>44568</c:v>
                </c:pt>
                <c:pt idx="31">
                  <c:v>44575</c:v>
                </c:pt>
                <c:pt idx="32">
                  <c:v>44582</c:v>
                </c:pt>
                <c:pt idx="33">
                  <c:v>44589</c:v>
                </c:pt>
                <c:pt idx="34">
                  <c:v>44596</c:v>
                </c:pt>
                <c:pt idx="35">
                  <c:v>44603</c:v>
                </c:pt>
                <c:pt idx="36">
                  <c:v>44610</c:v>
                </c:pt>
                <c:pt idx="37">
                  <c:v>44617</c:v>
                </c:pt>
                <c:pt idx="38">
                  <c:v>44624</c:v>
                </c:pt>
                <c:pt idx="39">
                  <c:v>44631</c:v>
                </c:pt>
                <c:pt idx="40">
                  <c:v>44638</c:v>
                </c:pt>
                <c:pt idx="41">
                  <c:v>44645</c:v>
                </c:pt>
                <c:pt idx="42">
                  <c:v>44652</c:v>
                </c:pt>
                <c:pt idx="43">
                  <c:v>44659</c:v>
                </c:pt>
                <c:pt idx="44">
                  <c:v>44666</c:v>
                </c:pt>
                <c:pt idx="45">
                  <c:v>44673</c:v>
                </c:pt>
                <c:pt idx="46">
                  <c:v>44680</c:v>
                </c:pt>
                <c:pt idx="47">
                  <c:v>44687</c:v>
                </c:pt>
                <c:pt idx="48">
                  <c:v>44694</c:v>
                </c:pt>
                <c:pt idx="49">
                  <c:v>44701</c:v>
                </c:pt>
                <c:pt idx="50">
                  <c:v>44708</c:v>
                </c:pt>
                <c:pt idx="51">
                  <c:v>44715</c:v>
                </c:pt>
                <c:pt idx="52">
                  <c:v>44722</c:v>
                </c:pt>
                <c:pt idx="53">
                  <c:v>44729</c:v>
                </c:pt>
                <c:pt idx="54">
                  <c:v>44736</c:v>
                </c:pt>
                <c:pt idx="55">
                  <c:v>44743</c:v>
                </c:pt>
                <c:pt idx="56">
                  <c:v>44750</c:v>
                </c:pt>
                <c:pt idx="57">
                  <c:v>44757</c:v>
                </c:pt>
                <c:pt idx="58">
                  <c:v>44764</c:v>
                </c:pt>
                <c:pt idx="59">
                  <c:v>44771</c:v>
                </c:pt>
                <c:pt idx="60">
                  <c:v>44778</c:v>
                </c:pt>
                <c:pt idx="61">
                  <c:v>44785</c:v>
                </c:pt>
                <c:pt idx="62">
                  <c:v>44792</c:v>
                </c:pt>
                <c:pt idx="63">
                  <c:v>44799</c:v>
                </c:pt>
                <c:pt idx="64">
                  <c:v>44806</c:v>
                </c:pt>
                <c:pt idx="65">
                  <c:v>44813</c:v>
                </c:pt>
                <c:pt idx="66">
                  <c:v>44820</c:v>
                </c:pt>
                <c:pt idx="67">
                  <c:v>44827</c:v>
                </c:pt>
                <c:pt idx="68">
                  <c:v>44834</c:v>
                </c:pt>
                <c:pt idx="69">
                  <c:v>44841</c:v>
                </c:pt>
                <c:pt idx="70">
                  <c:v>44848</c:v>
                </c:pt>
                <c:pt idx="71">
                  <c:v>44855</c:v>
                </c:pt>
                <c:pt idx="72">
                  <c:v>44862</c:v>
                </c:pt>
                <c:pt idx="73">
                  <c:v>44869</c:v>
                </c:pt>
                <c:pt idx="74">
                  <c:v>44876</c:v>
                </c:pt>
                <c:pt idx="75">
                  <c:v>44883</c:v>
                </c:pt>
                <c:pt idx="76">
                  <c:v>44890</c:v>
                </c:pt>
                <c:pt idx="77">
                  <c:v>44897</c:v>
                </c:pt>
                <c:pt idx="78">
                  <c:v>44904</c:v>
                </c:pt>
                <c:pt idx="79">
                  <c:v>44911</c:v>
                </c:pt>
                <c:pt idx="80">
                  <c:v>44918</c:v>
                </c:pt>
                <c:pt idx="81">
                  <c:v>44925</c:v>
                </c:pt>
                <c:pt idx="82">
                  <c:v>44932</c:v>
                </c:pt>
                <c:pt idx="83">
                  <c:v>44939</c:v>
                </c:pt>
                <c:pt idx="84">
                  <c:v>44946</c:v>
                </c:pt>
                <c:pt idx="85">
                  <c:v>44953</c:v>
                </c:pt>
                <c:pt idx="86">
                  <c:v>44960</c:v>
                </c:pt>
                <c:pt idx="87">
                  <c:v>44967</c:v>
                </c:pt>
                <c:pt idx="88">
                  <c:v>44974</c:v>
                </c:pt>
                <c:pt idx="89">
                  <c:v>44981</c:v>
                </c:pt>
                <c:pt idx="90">
                  <c:v>44988</c:v>
                </c:pt>
                <c:pt idx="91">
                  <c:v>44995</c:v>
                </c:pt>
                <c:pt idx="92">
                  <c:v>45002</c:v>
                </c:pt>
                <c:pt idx="93">
                  <c:v>45009</c:v>
                </c:pt>
                <c:pt idx="94">
                  <c:v>45016</c:v>
                </c:pt>
                <c:pt idx="95">
                  <c:v>45023</c:v>
                </c:pt>
                <c:pt idx="96">
                  <c:v>45030</c:v>
                </c:pt>
                <c:pt idx="97">
                  <c:v>45037</c:v>
                </c:pt>
                <c:pt idx="98">
                  <c:v>45044</c:v>
                </c:pt>
                <c:pt idx="99">
                  <c:v>45051</c:v>
                </c:pt>
                <c:pt idx="100">
                  <c:v>45058</c:v>
                </c:pt>
                <c:pt idx="101">
                  <c:v>45065</c:v>
                </c:pt>
                <c:pt idx="102">
                  <c:v>45072</c:v>
                </c:pt>
                <c:pt idx="103">
                  <c:v>45079</c:v>
                </c:pt>
                <c:pt idx="104">
                  <c:v>45086</c:v>
                </c:pt>
                <c:pt idx="105">
                  <c:v>45093</c:v>
                </c:pt>
                <c:pt idx="106">
                  <c:v>45100</c:v>
                </c:pt>
                <c:pt idx="107">
                  <c:v>45107</c:v>
                </c:pt>
                <c:pt idx="108">
                  <c:v>45114</c:v>
                </c:pt>
                <c:pt idx="109">
                  <c:v>45121</c:v>
                </c:pt>
                <c:pt idx="110">
                  <c:v>45128</c:v>
                </c:pt>
                <c:pt idx="111">
                  <c:v>45135</c:v>
                </c:pt>
                <c:pt idx="112">
                  <c:v>45142</c:v>
                </c:pt>
                <c:pt idx="113">
                  <c:v>45149</c:v>
                </c:pt>
                <c:pt idx="114">
                  <c:v>45156</c:v>
                </c:pt>
                <c:pt idx="115">
                  <c:v>45163</c:v>
                </c:pt>
                <c:pt idx="116">
                  <c:v>45170</c:v>
                </c:pt>
                <c:pt idx="117">
                  <c:v>45177</c:v>
                </c:pt>
                <c:pt idx="118">
                  <c:v>45184</c:v>
                </c:pt>
                <c:pt idx="119">
                  <c:v>45191</c:v>
                </c:pt>
                <c:pt idx="120">
                  <c:v>45198</c:v>
                </c:pt>
                <c:pt idx="121">
                  <c:v>45205</c:v>
                </c:pt>
                <c:pt idx="122">
                  <c:v>45212</c:v>
                </c:pt>
                <c:pt idx="123">
                  <c:v>45219</c:v>
                </c:pt>
                <c:pt idx="124">
                  <c:v>45226</c:v>
                </c:pt>
                <c:pt idx="125">
                  <c:v>45233</c:v>
                </c:pt>
                <c:pt idx="126">
                  <c:v>45240</c:v>
                </c:pt>
                <c:pt idx="127">
                  <c:v>45247</c:v>
                </c:pt>
                <c:pt idx="128">
                  <c:v>45254</c:v>
                </c:pt>
                <c:pt idx="129">
                  <c:v>45261</c:v>
                </c:pt>
                <c:pt idx="130">
                  <c:v>45268</c:v>
                </c:pt>
                <c:pt idx="131">
                  <c:v>45275</c:v>
                </c:pt>
                <c:pt idx="132">
                  <c:v>45282</c:v>
                </c:pt>
                <c:pt idx="133">
                  <c:v>45289</c:v>
                </c:pt>
                <c:pt idx="134">
                  <c:v>45296</c:v>
                </c:pt>
                <c:pt idx="135">
                  <c:v>45303</c:v>
                </c:pt>
                <c:pt idx="136">
                  <c:v>45310</c:v>
                </c:pt>
                <c:pt idx="137">
                  <c:v>45317</c:v>
                </c:pt>
                <c:pt idx="138">
                  <c:v>45324</c:v>
                </c:pt>
                <c:pt idx="139">
                  <c:v>45331</c:v>
                </c:pt>
                <c:pt idx="140">
                  <c:v>45338</c:v>
                </c:pt>
                <c:pt idx="141">
                  <c:v>45345</c:v>
                </c:pt>
                <c:pt idx="142">
                  <c:v>45352</c:v>
                </c:pt>
                <c:pt idx="143">
                  <c:v>45359</c:v>
                </c:pt>
                <c:pt idx="144">
                  <c:v>45366</c:v>
                </c:pt>
                <c:pt idx="145">
                  <c:v>45373</c:v>
                </c:pt>
                <c:pt idx="146">
                  <c:v>45380</c:v>
                </c:pt>
                <c:pt idx="147">
                  <c:v>45387</c:v>
                </c:pt>
                <c:pt idx="148">
                  <c:v>45394</c:v>
                </c:pt>
                <c:pt idx="149">
                  <c:v>45401</c:v>
                </c:pt>
                <c:pt idx="150">
                  <c:v>45408</c:v>
                </c:pt>
                <c:pt idx="151">
                  <c:v>45415</c:v>
                </c:pt>
                <c:pt idx="152">
                  <c:v>45422</c:v>
                </c:pt>
                <c:pt idx="153">
                  <c:v>45429</c:v>
                </c:pt>
                <c:pt idx="154">
                  <c:v>45436</c:v>
                </c:pt>
                <c:pt idx="155">
                  <c:v>45443</c:v>
                </c:pt>
                <c:pt idx="156">
                  <c:v>45450</c:v>
                </c:pt>
                <c:pt idx="157">
                  <c:v>45457</c:v>
                </c:pt>
                <c:pt idx="158">
                  <c:v>45464</c:v>
                </c:pt>
                <c:pt idx="159">
                  <c:v>45471</c:v>
                </c:pt>
                <c:pt idx="160">
                  <c:v>45478</c:v>
                </c:pt>
                <c:pt idx="161">
                  <c:v>45485</c:v>
                </c:pt>
                <c:pt idx="162">
                  <c:v>45492</c:v>
                </c:pt>
                <c:pt idx="163">
                  <c:v>45499</c:v>
                </c:pt>
                <c:pt idx="164">
                  <c:v>45506</c:v>
                </c:pt>
                <c:pt idx="165">
                  <c:v>45513</c:v>
                </c:pt>
                <c:pt idx="166">
                  <c:v>45520</c:v>
                </c:pt>
                <c:pt idx="167">
                  <c:v>45527</c:v>
                </c:pt>
                <c:pt idx="168">
                  <c:v>45534</c:v>
                </c:pt>
                <c:pt idx="169">
                  <c:v>45541</c:v>
                </c:pt>
                <c:pt idx="170">
                  <c:v>45548</c:v>
                </c:pt>
                <c:pt idx="171">
                  <c:v>45555</c:v>
                </c:pt>
                <c:pt idx="172">
                  <c:v>45562</c:v>
                </c:pt>
                <c:pt idx="173">
                  <c:v>45569</c:v>
                </c:pt>
                <c:pt idx="174">
                  <c:v>45576</c:v>
                </c:pt>
                <c:pt idx="175">
                  <c:v>45583</c:v>
                </c:pt>
                <c:pt idx="176">
                  <c:v>45590</c:v>
                </c:pt>
                <c:pt idx="177">
                  <c:v>45597</c:v>
                </c:pt>
                <c:pt idx="178">
                  <c:v>45604</c:v>
                </c:pt>
                <c:pt idx="179">
                  <c:v>45611</c:v>
                </c:pt>
                <c:pt idx="180">
                  <c:v>45618</c:v>
                </c:pt>
                <c:pt idx="181">
                  <c:v>45625</c:v>
                </c:pt>
                <c:pt idx="182">
                  <c:v>45632</c:v>
                </c:pt>
                <c:pt idx="183">
                  <c:v>45639</c:v>
                </c:pt>
                <c:pt idx="184">
                  <c:v>45646</c:v>
                </c:pt>
                <c:pt idx="185">
                  <c:v>45653</c:v>
                </c:pt>
                <c:pt idx="186">
                  <c:v>45660</c:v>
                </c:pt>
                <c:pt idx="187">
                  <c:v>45667</c:v>
                </c:pt>
                <c:pt idx="188">
                  <c:v>45674</c:v>
                </c:pt>
                <c:pt idx="189">
                  <c:v>45681</c:v>
                </c:pt>
                <c:pt idx="190">
                  <c:v>45688</c:v>
                </c:pt>
                <c:pt idx="191">
                  <c:v>45695</c:v>
                </c:pt>
                <c:pt idx="192">
                  <c:v>45702</c:v>
                </c:pt>
                <c:pt idx="193">
                  <c:v>45709</c:v>
                </c:pt>
                <c:pt idx="194">
                  <c:v>45716</c:v>
                </c:pt>
                <c:pt idx="195">
                  <c:v>45723</c:v>
                </c:pt>
                <c:pt idx="196">
                  <c:v>45730</c:v>
                </c:pt>
                <c:pt idx="197">
                  <c:v>45737</c:v>
                </c:pt>
                <c:pt idx="198">
                  <c:v>45744</c:v>
                </c:pt>
                <c:pt idx="199">
                  <c:v>45751</c:v>
                </c:pt>
                <c:pt idx="200">
                  <c:v>45758</c:v>
                </c:pt>
                <c:pt idx="201">
                  <c:v>45765</c:v>
                </c:pt>
                <c:pt idx="202">
                  <c:v>45772</c:v>
                </c:pt>
                <c:pt idx="203">
                  <c:v>45779</c:v>
                </c:pt>
                <c:pt idx="204">
                  <c:v>45786</c:v>
                </c:pt>
                <c:pt idx="205">
                  <c:v>45793</c:v>
                </c:pt>
                <c:pt idx="206">
                  <c:v>45800</c:v>
                </c:pt>
                <c:pt idx="207">
                  <c:v>45807</c:v>
                </c:pt>
                <c:pt idx="208">
                  <c:v>45814</c:v>
                </c:pt>
                <c:pt idx="209">
                  <c:v>45821</c:v>
                </c:pt>
                <c:pt idx="210">
                  <c:v>45828</c:v>
                </c:pt>
                <c:pt idx="211">
                  <c:v>45835</c:v>
                </c:pt>
                <c:pt idx="212">
                  <c:v>45842</c:v>
                </c:pt>
                <c:pt idx="213">
                  <c:v>45849</c:v>
                </c:pt>
                <c:pt idx="214">
                  <c:v>45856</c:v>
                </c:pt>
                <c:pt idx="215">
                  <c:v>45863</c:v>
                </c:pt>
                <c:pt idx="216">
                  <c:v>45870</c:v>
                </c:pt>
                <c:pt idx="217">
                  <c:v>45877</c:v>
                </c:pt>
                <c:pt idx="218">
                  <c:v>45884</c:v>
                </c:pt>
                <c:pt idx="219">
                  <c:v>45891</c:v>
                </c:pt>
                <c:pt idx="220">
                  <c:v>45898</c:v>
                </c:pt>
                <c:pt idx="221">
                  <c:v>45905</c:v>
                </c:pt>
                <c:pt idx="222">
                  <c:v>45912</c:v>
                </c:pt>
                <c:pt idx="223">
                  <c:v>45919</c:v>
                </c:pt>
                <c:pt idx="224">
                  <c:v>45926</c:v>
                </c:pt>
                <c:pt idx="225">
                  <c:v>45933</c:v>
                </c:pt>
                <c:pt idx="226">
                  <c:v>45940</c:v>
                </c:pt>
                <c:pt idx="227">
                  <c:v>45947</c:v>
                </c:pt>
                <c:pt idx="228">
                  <c:v>45954</c:v>
                </c:pt>
                <c:pt idx="229">
                  <c:v>45961</c:v>
                </c:pt>
                <c:pt idx="230">
                  <c:v>45968</c:v>
                </c:pt>
                <c:pt idx="231">
                  <c:v>45975</c:v>
                </c:pt>
                <c:pt idx="232">
                  <c:v>45982</c:v>
                </c:pt>
                <c:pt idx="233">
                  <c:v>45989</c:v>
                </c:pt>
                <c:pt idx="234">
                  <c:v>45996</c:v>
                </c:pt>
                <c:pt idx="235">
                  <c:v>46003</c:v>
                </c:pt>
                <c:pt idx="236">
                  <c:v>46010</c:v>
                </c:pt>
                <c:pt idx="237">
                  <c:v>46017</c:v>
                </c:pt>
                <c:pt idx="238">
                  <c:v>46024</c:v>
                </c:pt>
                <c:pt idx="239">
                  <c:v>46031</c:v>
                </c:pt>
                <c:pt idx="240">
                  <c:v>46038</c:v>
                </c:pt>
                <c:pt idx="241">
                  <c:v>46045</c:v>
                </c:pt>
                <c:pt idx="242">
                  <c:v>46052</c:v>
                </c:pt>
                <c:pt idx="243">
                  <c:v>46059</c:v>
                </c:pt>
                <c:pt idx="244">
                  <c:v>46066</c:v>
                </c:pt>
                <c:pt idx="245">
                  <c:v>46073</c:v>
                </c:pt>
                <c:pt idx="246">
                  <c:v>46080</c:v>
                </c:pt>
                <c:pt idx="247">
                  <c:v>46087</c:v>
                </c:pt>
                <c:pt idx="248">
                  <c:v>46094</c:v>
                </c:pt>
                <c:pt idx="249">
                  <c:v>46101</c:v>
                </c:pt>
                <c:pt idx="250">
                  <c:v>46108</c:v>
                </c:pt>
                <c:pt idx="251">
                  <c:v>46115</c:v>
                </c:pt>
                <c:pt idx="252">
                  <c:v>46122</c:v>
                </c:pt>
                <c:pt idx="253">
                  <c:v>46129</c:v>
                </c:pt>
                <c:pt idx="254">
                  <c:v>46136</c:v>
                </c:pt>
                <c:pt idx="255">
                  <c:v>46143</c:v>
                </c:pt>
                <c:pt idx="256">
                  <c:v>46150</c:v>
                </c:pt>
                <c:pt idx="257">
                  <c:v>46157</c:v>
                </c:pt>
                <c:pt idx="258">
                  <c:v>46164</c:v>
                </c:pt>
                <c:pt idx="259">
                  <c:v>46171</c:v>
                </c:pt>
              </c:numCache>
            </c:numRef>
          </c:cat>
          <c:val>
            <c:numRef>
              <c:f>_DASH_DATA!$R$2:$R$261</c:f>
              <c:numCache>
                <c:formatCode>General</c:formatCode>
                <c:ptCount val="260"/>
                <c:pt idx="0">
                  <c:v>1.47</c:v>
                </c:pt>
                <c:pt idx="1">
                  <c:v>1.45</c:v>
                </c:pt>
                <c:pt idx="2">
                  <c:v>1.54</c:v>
                </c:pt>
                <c:pt idx="3">
                  <c:v>1.44</c:v>
                </c:pt>
                <c:pt idx="4">
                  <c:v>1.37</c:v>
                </c:pt>
                <c:pt idx="5">
                  <c:v>1.31</c:v>
                </c:pt>
                <c:pt idx="6">
                  <c:v>1.3</c:v>
                </c:pt>
                <c:pt idx="7">
                  <c:v>1.24</c:v>
                </c:pt>
                <c:pt idx="8">
                  <c:v>1.31</c:v>
                </c:pt>
                <c:pt idx="9">
                  <c:v>1.29</c:v>
                </c:pt>
                <c:pt idx="10">
                  <c:v>1.26</c:v>
                </c:pt>
                <c:pt idx="11">
                  <c:v>1.31</c:v>
                </c:pt>
                <c:pt idx="12">
                  <c:v>1.33</c:v>
                </c:pt>
                <c:pt idx="13">
                  <c:v>1.35</c:v>
                </c:pt>
                <c:pt idx="14">
                  <c:v>1.37</c:v>
                </c:pt>
                <c:pt idx="15">
                  <c:v>1.47</c:v>
                </c:pt>
                <c:pt idx="16">
                  <c:v>1.48</c:v>
                </c:pt>
                <c:pt idx="17">
                  <c:v>1.61</c:v>
                </c:pt>
                <c:pt idx="18">
                  <c:v>1.59</c:v>
                </c:pt>
                <c:pt idx="19">
                  <c:v>1.66</c:v>
                </c:pt>
                <c:pt idx="20">
                  <c:v>1.55</c:v>
                </c:pt>
                <c:pt idx="21">
                  <c:v>1.45</c:v>
                </c:pt>
                <c:pt idx="22">
                  <c:v>1.58</c:v>
                </c:pt>
                <c:pt idx="23">
                  <c:v>1.54</c:v>
                </c:pt>
                <c:pt idx="24">
                  <c:v>1.48</c:v>
                </c:pt>
                <c:pt idx="25">
                  <c:v>1.35</c:v>
                </c:pt>
                <c:pt idx="26">
                  <c:v>1.48</c:v>
                </c:pt>
                <c:pt idx="27">
                  <c:v>1.41</c:v>
                </c:pt>
                <c:pt idx="28">
                  <c:v>1.5</c:v>
                </c:pt>
                <c:pt idx="29">
                  <c:v>1.52</c:v>
                </c:pt>
                <c:pt idx="30">
                  <c:v>1.76</c:v>
                </c:pt>
                <c:pt idx="31">
                  <c:v>1.78</c:v>
                </c:pt>
                <c:pt idx="32">
                  <c:v>1.75</c:v>
                </c:pt>
                <c:pt idx="33">
                  <c:v>1.78</c:v>
                </c:pt>
                <c:pt idx="34">
                  <c:v>1.93</c:v>
                </c:pt>
                <c:pt idx="35">
                  <c:v>1.92</c:v>
                </c:pt>
                <c:pt idx="36">
                  <c:v>1.92</c:v>
                </c:pt>
                <c:pt idx="37">
                  <c:v>1.97</c:v>
                </c:pt>
                <c:pt idx="38">
                  <c:v>1.74</c:v>
                </c:pt>
                <c:pt idx="39">
                  <c:v>2</c:v>
                </c:pt>
                <c:pt idx="40">
                  <c:v>2.14</c:v>
                </c:pt>
                <c:pt idx="41">
                  <c:v>2.48</c:v>
                </c:pt>
                <c:pt idx="42">
                  <c:v>2.39</c:v>
                </c:pt>
                <c:pt idx="43">
                  <c:v>2.72</c:v>
                </c:pt>
                <c:pt idx="44">
                  <c:v>2.83</c:v>
                </c:pt>
                <c:pt idx="45">
                  <c:v>2.9</c:v>
                </c:pt>
                <c:pt idx="46">
                  <c:v>2.89</c:v>
                </c:pt>
                <c:pt idx="47">
                  <c:v>3.12</c:v>
                </c:pt>
                <c:pt idx="48">
                  <c:v>2.93</c:v>
                </c:pt>
                <c:pt idx="49">
                  <c:v>2.78</c:v>
                </c:pt>
                <c:pt idx="50">
                  <c:v>2.74</c:v>
                </c:pt>
                <c:pt idx="51">
                  <c:v>2.96</c:v>
                </c:pt>
                <c:pt idx="52">
                  <c:v>3.15</c:v>
                </c:pt>
                <c:pt idx="53">
                  <c:v>3.25</c:v>
                </c:pt>
                <c:pt idx="54">
                  <c:v>3.13</c:v>
                </c:pt>
                <c:pt idx="55">
                  <c:v>2.88</c:v>
                </c:pt>
                <c:pt idx="56">
                  <c:v>3.09</c:v>
                </c:pt>
                <c:pt idx="57">
                  <c:v>2.93</c:v>
                </c:pt>
                <c:pt idx="58">
                  <c:v>2.77</c:v>
                </c:pt>
                <c:pt idx="59">
                  <c:v>2.67</c:v>
                </c:pt>
                <c:pt idx="60">
                  <c:v>2.83</c:v>
                </c:pt>
                <c:pt idx="61">
                  <c:v>2.84</c:v>
                </c:pt>
                <c:pt idx="62">
                  <c:v>2.98</c:v>
                </c:pt>
                <c:pt idx="63">
                  <c:v>3.04</c:v>
                </c:pt>
                <c:pt idx="64">
                  <c:v>3.2</c:v>
                </c:pt>
                <c:pt idx="65">
                  <c:v>3.33</c:v>
                </c:pt>
                <c:pt idx="66">
                  <c:v>3.45</c:v>
                </c:pt>
                <c:pt idx="67">
                  <c:v>3.69</c:v>
                </c:pt>
                <c:pt idx="68">
                  <c:v>3.83</c:v>
                </c:pt>
                <c:pt idx="69">
                  <c:v>3.89</c:v>
                </c:pt>
                <c:pt idx="70">
                  <c:v>4</c:v>
                </c:pt>
                <c:pt idx="71">
                  <c:v>4.21</c:v>
                </c:pt>
                <c:pt idx="72">
                  <c:v>4.02</c:v>
                </c:pt>
                <c:pt idx="73">
                  <c:v>4.17</c:v>
                </c:pt>
                <c:pt idx="74">
                  <c:v>3.82</c:v>
                </c:pt>
                <c:pt idx="75">
                  <c:v>3.82</c:v>
                </c:pt>
                <c:pt idx="76">
                  <c:v>3.68</c:v>
                </c:pt>
                <c:pt idx="77">
                  <c:v>3.51</c:v>
                </c:pt>
                <c:pt idx="78">
                  <c:v>3.57</c:v>
                </c:pt>
                <c:pt idx="79">
                  <c:v>3.48</c:v>
                </c:pt>
                <c:pt idx="80">
                  <c:v>3.75</c:v>
                </c:pt>
                <c:pt idx="81">
                  <c:v>3.88</c:v>
                </c:pt>
                <c:pt idx="82">
                  <c:v>3.55</c:v>
                </c:pt>
                <c:pt idx="83">
                  <c:v>3.49</c:v>
                </c:pt>
                <c:pt idx="84">
                  <c:v>3.48</c:v>
                </c:pt>
                <c:pt idx="85">
                  <c:v>3.52</c:v>
                </c:pt>
                <c:pt idx="86">
                  <c:v>3.53</c:v>
                </c:pt>
                <c:pt idx="87">
                  <c:v>3.74</c:v>
                </c:pt>
                <c:pt idx="88">
                  <c:v>3.82</c:v>
                </c:pt>
                <c:pt idx="89">
                  <c:v>3.95</c:v>
                </c:pt>
                <c:pt idx="90">
                  <c:v>3.97</c:v>
                </c:pt>
                <c:pt idx="91">
                  <c:v>3.7</c:v>
                </c:pt>
                <c:pt idx="92">
                  <c:v>3.39</c:v>
                </c:pt>
                <c:pt idx="93">
                  <c:v>3.38</c:v>
                </c:pt>
                <c:pt idx="94">
                  <c:v>3.48</c:v>
                </c:pt>
                <c:pt idx="95">
                  <c:v>3.39</c:v>
                </c:pt>
                <c:pt idx="96">
                  <c:v>3.52</c:v>
                </c:pt>
                <c:pt idx="97">
                  <c:v>3.57</c:v>
                </c:pt>
                <c:pt idx="98">
                  <c:v>3.44</c:v>
                </c:pt>
                <c:pt idx="99">
                  <c:v>3.44</c:v>
                </c:pt>
                <c:pt idx="100">
                  <c:v>3.46</c:v>
                </c:pt>
                <c:pt idx="101">
                  <c:v>3.7</c:v>
                </c:pt>
                <c:pt idx="102">
                  <c:v>3.8</c:v>
                </c:pt>
                <c:pt idx="103">
                  <c:v>3.69</c:v>
                </c:pt>
                <c:pt idx="104">
                  <c:v>3.75</c:v>
                </c:pt>
                <c:pt idx="105">
                  <c:v>3.77</c:v>
                </c:pt>
                <c:pt idx="106">
                  <c:v>3.74</c:v>
                </c:pt>
                <c:pt idx="107">
                  <c:v>3.81</c:v>
                </c:pt>
                <c:pt idx="108">
                  <c:v>4.06</c:v>
                </c:pt>
                <c:pt idx="109">
                  <c:v>3.83</c:v>
                </c:pt>
                <c:pt idx="110">
                  <c:v>3.84</c:v>
                </c:pt>
                <c:pt idx="111">
                  <c:v>3.96</c:v>
                </c:pt>
                <c:pt idx="112">
                  <c:v>4.05</c:v>
                </c:pt>
                <c:pt idx="113">
                  <c:v>4.16</c:v>
                </c:pt>
                <c:pt idx="114">
                  <c:v>4.26</c:v>
                </c:pt>
                <c:pt idx="115">
                  <c:v>4.25</c:v>
                </c:pt>
                <c:pt idx="116">
                  <c:v>4.18</c:v>
                </c:pt>
                <c:pt idx="117">
                  <c:v>4.26</c:v>
                </c:pt>
                <c:pt idx="118">
                  <c:v>4.33</c:v>
                </c:pt>
                <c:pt idx="119">
                  <c:v>4.44</c:v>
                </c:pt>
                <c:pt idx="120">
                  <c:v>4.59</c:v>
                </c:pt>
                <c:pt idx="121">
                  <c:v>4.78</c:v>
                </c:pt>
                <c:pt idx="122">
                  <c:v>4.63</c:v>
                </c:pt>
                <c:pt idx="123">
                  <c:v>4.93</c:v>
                </c:pt>
                <c:pt idx="124">
                  <c:v>4.84</c:v>
                </c:pt>
                <c:pt idx="125">
                  <c:v>4.57</c:v>
                </c:pt>
                <c:pt idx="126">
                  <c:v>4.61</c:v>
                </c:pt>
                <c:pt idx="127">
                  <c:v>4.44</c:v>
                </c:pt>
                <c:pt idx="128">
                  <c:v>4.47</c:v>
                </c:pt>
                <c:pt idx="129">
                  <c:v>4.22</c:v>
                </c:pt>
                <c:pt idx="130">
                  <c:v>4.23</c:v>
                </c:pt>
                <c:pt idx="131">
                  <c:v>3.91</c:v>
                </c:pt>
                <c:pt idx="132">
                  <c:v>3.9</c:v>
                </c:pt>
                <c:pt idx="133">
                  <c:v>3.88</c:v>
                </c:pt>
                <c:pt idx="134">
                  <c:v>4.05</c:v>
                </c:pt>
                <c:pt idx="135">
                  <c:v>3.96</c:v>
                </c:pt>
                <c:pt idx="136">
                  <c:v>4.15</c:v>
                </c:pt>
                <c:pt idx="137">
                  <c:v>4.15</c:v>
                </c:pt>
                <c:pt idx="138">
                  <c:v>4.03</c:v>
                </c:pt>
                <c:pt idx="139">
                  <c:v>4.17</c:v>
                </c:pt>
                <c:pt idx="140">
                  <c:v>4.3</c:v>
                </c:pt>
                <c:pt idx="141">
                  <c:v>4.26</c:v>
                </c:pt>
                <c:pt idx="142">
                  <c:v>4.19</c:v>
                </c:pt>
                <c:pt idx="143">
                  <c:v>4.09</c:v>
                </c:pt>
                <c:pt idx="144">
                  <c:v>4.31</c:v>
                </c:pt>
                <c:pt idx="145">
                  <c:v>4.22</c:v>
                </c:pt>
                <c:pt idx="146">
                  <c:v>4.2</c:v>
                </c:pt>
                <c:pt idx="147">
                  <c:v>4.39</c:v>
                </c:pt>
                <c:pt idx="148">
                  <c:v>4.5</c:v>
                </c:pt>
                <c:pt idx="149">
                  <c:v>4.62</c:v>
                </c:pt>
                <c:pt idx="150">
                  <c:v>4.67</c:v>
                </c:pt>
                <c:pt idx="151">
                  <c:v>4.5</c:v>
                </c:pt>
                <c:pt idx="152">
                  <c:v>4.5</c:v>
                </c:pt>
                <c:pt idx="153">
                  <c:v>4.42</c:v>
                </c:pt>
                <c:pt idx="154">
                  <c:v>4.46</c:v>
                </c:pt>
                <c:pt idx="155">
                  <c:v>4.51</c:v>
                </c:pt>
                <c:pt idx="156">
                  <c:v>4.43</c:v>
                </c:pt>
                <c:pt idx="157">
                  <c:v>4.2</c:v>
                </c:pt>
                <c:pt idx="158">
                  <c:v>4.25</c:v>
                </c:pt>
                <c:pt idx="159">
                  <c:v>4.36</c:v>
                </c:pt>
                <c:pt idx="160">
                  <c:v>4.28</c:v>
                </c:pt>
                <c:pt idx="161">
                  <c:v>4.18</c:v>
                </c:pt>
                <c:pt idx="162">
                  <c:v>4.25</c:v>
                </c:pt>
                <c:pt idx="163">
                  <c:v>4.2</c:v>
                </c:pt>
                <c:pt idx="164">
                  <c:v>3.8</c:v>
                </c:pt>
                <c:pt idx="165">
                  <c:v>3.94</c:v>
                </c:pt>
                <c:pt idx="166">
                  <c:v>3.89</c:v>
                </c:pt>
                <c:pt idx="167">
                  <c:v>3.81</c:v>
                </c:pt>
                <c:pt idx="168">
                  <c:v>3.91</c:v>
                </c:pt>
                <c:pt idx="169">
                  <c:v>3.72</c:v>
                </c:pt>
                <c:pt idx="170">
                  <c:v>3.66</c:v>
                </c:pt>
                <c:pt idx="171">
                  <c:v>3.73</c:v>
                </c:pt>
                <c:pt idx="172">
                  <c:v>3.75</c:v>
                </c:pt>
                <c:pt idx="173">
                  <c:v>3.98</c:v>
                </c:pt>
                <c:pt idx="174">
                  <c:v>4.08</c:v>
                </c:pt>
                <c:pt idx="175">
                  <c:v>4.08</c:v>
                </c:pt>
                <c:pt idx="176">
                  <c:v>4.25</c:v>
                </c:pt>
                <c:pt idx="177">
                  <c:v>4.37</c:v>
                </c:pt>
                <c:pt idx="178">
                  <c:v>4.3</c:v>
                </c:pt>
                <c:pt idx="179">
                  <c:v>4.43</c:v>
                </c:pt>
                <c:pt idx="180">
                  <c:v>4.41</c:v>
                </c:pt>
                <c:pt idx="181">
                  <c:v>4.18</c:v>
                </c:pt>
                <c:pt idx="182">
                  <c:v>4.15</c:v>
                </c:pt>
                <c:pt idx="183">
                  <c:v>4.4</c:v>
                </c:pt>
                <c:pt idx="184">
                  <c:v>4.52</c:v>
                </c:pt>
                <c:pt idx="185">
                  <c:v>4.62</c:v>
                </c:pt>
                <c:pt idx="186">
                  <c:v>4.6</c:v>
                </c:pt>
                <c:pt idx="187">
                  <c:v>4.77</c:v>
                </c:pt>
                <c:pt idx="188">
                  <c:v>4.61</c:v>
                </c:pt>
                <c:pt idx="189">
                  <c:v>4.63</c:v>
                </c:pt>
                <c:pt idx="190">
                  <c:v>4.58</c:v>
                </c:pt>
                <c:pt idx="191">
                  <c:v>4.49</c:v>
                </c:pt>
                <c:pt idx="192">
                  <c:v>4.47</c:v>
                </c:pt>
                <c:pt idx="193">
                  <c:v>4.42</c:v>
                </c:pt>
                <c:pt idx="194">
                  <c:v>4.24</c:v>
                </c:pt>
                <c:pt idx="195">
                  <c:v>4.32</c:v>
                </c:pt>
                <c:pt idx="196">
                  <c:v>4.31</c:v>
                </c:pt>
                <c:pt idx="197">
                  <c:v>4.25</c:v>
                </c:pt>
                <c:pt idx="198">
                  <c:v>4.27</c:v>
                </c:pt>
                <c:pt idx="199">
                  <c:v>4.01</c:v>
                </c:pt>
                <c:pt idx="200">
                  <c:v>4.48</c:v>
                </c:pt>
                <c:pt idx="201">
                  <c:v>4.34</c:v>
                </c:pt>
                <c:pt idx="202">
                  <c:v>4.29</c:v>
                </c:pt>
                <c:pt idx="203">
                  <c:v>4.33</c:v>
                </c:pt>
                <c:pt idx="204">
                  <c:v>4.37</c:v>
                </c:pt>
                <c:pt idx="205">
                  <c:v>4.43</c:v>
                </c:pt>
                <c:pt idx="206">
                  <c:v>4.51</c:v>
                </c:pt>
                <c:pt idx="207">
                  <c:v>4.41</c:v>
                </c:pt>
                <c:pt idx="208">
                  <c:v>4.51</c:v>
                </c:pt>
                <c:pt idx="209">
                  <c:v>4.41</c:v>
                </c:pt>
                <c:pt idx="210">
                  <c:v>4.38</c:v>
                </c:pt>
                <c:pt idx="211">
                  <c:v>4.29</c:v>
                </c:pt>
                <c:pt idx="212">
                  <c:v>4.35</c:v>
                </c:pt>
                <c:pt idx="213">
                  <c:v>4.43</c:v>
                </c:pt>
                <c:pt idx="214">
                  <c:v>4.44</c:v>
                </c:pt>
                <c:pt idx="215">
                  <c:v>4.4</c:v>
                </c:pt>
                <c:pt idx="216">
                  <c:v>4.23</c:v>
                </c:pt>
                <c:pt idx="217">
                  <c:v>4.27</c:v>
                </c:pt>
                <c:pt idx="218">
                  <c:v>4.33</c:v>
                </c:pt>
                <c:pt idx="219">
                  <c:v>4.26</c:v>
                </c:pt>
                <c:pt idx="220">
                  <c:v>4.23</c:v>
                </c:pt>
                <c:pt idx="221">
                  <c:v>4.1</c:v>
                </c:pt>
                <c:pt idx="222">
                  <c:v>4.06</c:v>
                </c:pt>
                <c:pt idx="223">
                  <c:v>4.14</c:v>
                </c:pt>
                <c:pt idx="224">
                  <c:v>4.2</c:v>
                </c:pt>
                <c:pt idx="225">
                  <c:v>4.13</c:v>
                </c:pt>
                <c:pt idx="226">
                  <c:v>4.05</c:v>
                </c:pt>
                <c:pt idx="227">
                  <c:v>4.02</c:v>
                </c:pt>
                <c:pt idx="228">
                  <c:v>4.02</c:v>
                </c:pt>
                <c:pt idx="229">
                  <c:v>4.11</c:v>
                </c:pt>
                <c:pt idx="230">
                  <c:v>4.11</c:v>
                </c:pt>
                <c:pt idx="231">
                  <c:v>4.14</c:v>
                </c:pt>
                <c:pt idx="232">
                  <c:v>4.06</c:v>
                </c:pt>
                <c:pt idx="233">
                  <c:v>4.02</c:v>
                </c:pt>
                <c:pt idx="234">
                  <c:v>4.14</c:v>
                </c:pt>
                <c:pt idx="235">
                  <c:v>4.19</c:v>
                </c:pt>
                <c:pt idx="236">
                  <c:v>4.16</c:v>
                </c:pt>
                <c:pt idx="237">
                  <c:v>4.14</c:v>
                </c:pt>
                <c:pt idx="238">
                  <c:v>4.19</c:v>
                </c:pt>
                <c:pt idx="239">
                  <c:v>4.18</c:v>
                </c:pt>
                <c:pt idx="240">
                  <c:v>4.24</c:v>
                </c:pt>
                <c:pt idx="241">
                  <c:v>4.24</c:v>
                </c:pt>
                <c:pt idx="242">
                  <c:v>4.26</c:v>
                </c:pt>
                <c:pt idx="243">
                  <c:v>4.22</c:v>
                </c:pt>
                <c:pt idx="244">
                  <c:v>4.04</c:v>
                </c:pt>
                <c:pt idx="245">
                  <c:v>4.08</c:v>
                </c:pt>
                <c:pt idx="246">
                  <c:v>3.97</c:v>
                </c:pt>
                <c:pt idx="247">
                  <c:v>4.15</c:v>
                </c:pt>
                <c:pt idx="248">
                  <c:v>4.28</c:v>
                </c:pt>
                <c:pt idx="249">
                  <c:v>4.39</c:v>
                </c:pt>
                <c:pt idx="250">
                  <c:v>4.44</c:v>
                </c:pt>
                <c:pt idx="251">
                  <c:v>4.35</c:v>
                </c:pt>
                <c:pt idx="252">
                  <c:v>4.31</c:v>
                </c:pt>
                <c:pt idx="253">
                  <c:v>4.26</c:v>
                </c:pt>
                <c:pt idx="254">
                  <c:v>4.31</c:v>
                </c:pt>
                <c:pt idx="255">
                  <c:v>4.39</c:v>
                </c:pt>
                <c:pt idx="256">
                  <c:v>4.38</c:v>
                </c:pt>
                <c:pt idx="257">
                  <c:v>4.59</c:v>
                </c:pt>
                <c:pt idx="258">
                  <c:v>4.56</c:v>
                </c:pt>
                <c:pt idx="259">
                  <c:v>4.45</c:v>
                </c:pt>
              </c:numCache>
            </c:numRef>
          </c:val>
          <c:smooth val="0"/>
        </c:ser>
        <c:ser>
          <c:idx val="1"/>
          <c:order val="1"/>
          <c:tx>
            <c:v>52W P80</c:v>
          </c:tx>
          <c:spPr>
            <a:ln xmlns:a="http://schemas.openxmlformats.org/drawingml/2006/main" w="19050">
              <a:solidFill>
                <a:schemeClr val="bg2">
                  <a:lumMod val="25000"/>
                </a:schemeClr>
              </a:solidFill>
              <a:prstDash val="dash"/>
            </a:ln>
          </c:spPr>
          <c:marker>
            <c:symbol val="none"/>
          </c:marker>
          <c:cat>
            <c:numRef>
              <c:f>_DASH_DATA!$Q$2:$Q$261</c:f>
              <c:numCache>
                <c:formatCode>m/yyyy</c:formatCode>
                <c:ptCount val="260"/>
                <c:pt idx="0">
                  <c:v>44358</c:v>
                </c:pt>
                <c:pt idx="1">
                  <c:v>44365</c:v>
                </c:pt>
                <c:pt idx="2">
                  <c:v>44372</c:v>
                </c:pt>
                <c:pt idx="3">
                  <c:v>44379</c:v>
                </c:pt>
                <c:pt idx="4">
                  <c:v>44386</c:v>
                </c:pt>
                <c:pt idx="5">
                  <c:v>44393</c:v>
                </c:pt>
                <c:pt idx="6">
                  <c:v>44400</c:v>
                </c:pt>
                <c:pt idx="7">
                  <c:v>44407</c:v>
                </c:pt>
                <c:pt idx="8">
                  <c:v>44414</c:v>
                </c:pt>
                <c:pt idx="9">
                  <c:v>44421</c:v>
                </c:pt>
                <c:pt idx="10">
                  <c:v>44428</c:v>
                </c:pt>
                <c:pt idx="11">
                  <c:v>44435</c:v>
                </c:pt>
                <c:pt idx="12">
                  <c:v>44442</c:v>
                </c:pt>
                <c:pt idx="13">
                  <c:v>44449</c:v>
                </c:pt>
                <c:pt idx="14">
                  <c:v>44456</c:v>
                </c:pt>
                <c:pt idx="15">
                  <c:v>44463</c:v>
                </c:pt>
                <c:pt idx="16">
                  <c:v>44470</c:v>
                </c:pt>
                <c:pt idx="17">
                  <c:v>44477</c:v>
                </c:pt>
                <c:pt idx="18">
                  <c:v>44484</c:v>
                </c:pt>
                <c:pt idx="19">
                  <c:v>44491</c:v>
                </c:pt>
                <c:pt idx="20">
                  <c:v>44498</c:v>
                </c:pt>
                <c:pt idx="21">
                  <c:v>44505</c:v>
                </c:pt>
                <c:pt idx="22">
                  <c:v>44512</c:v>
                </c:pt>
                <c:pt idx="23">
                  <c:v>44519</c:v>
                </c:pt>
                <c:pt idx="24">
                  <c:v>44526</c:v>
                </c:pt>
                <c:pt idx="25">
                  <c:v>44533</c:v>
                </c:pt>
                <c:pt idx="26">
                  <c:v>44540</c:v>
                </c:pt>
                <c:pt idx="27">
                  <c:v>44547</c:v>
                </c:pt>
                <c:pt idx="28">
                  <c:v>44554</c:v>
                </c:pt>
                <c:pt idx="29">
                  <c:v>44561</c:v>
                </c:pt>
                <c:pt idx="30">
                  <c:v>44568</c:v>
                </c:pt>
                <c:pt idx="31">
                  <c:v>44575</c:v>
                </c:pt>
                <c:pt idx="32">
                  <c:v>44582</c:v>
                </c:pt>
                <c:pt idx="33">
                  <c:v>44589</c:v>
                </c:pt>
                <c:pt idx="34">
                  <c:v>44596</c:v>
                </c:pt>
                <c:pt idx="35">
                  <c:v>44603</c:v>
                </c:pt>
                <c:pt idx="36">
                  <c:v>44610</c:v>
                </c:pt>
                <c:pt idx="37">
                  <c:v>44617</c:v>
                </c:pt>
                <c:pt idx="38">
                  <c:v>44624</c:v>
                </c:pt>
                <c:pt idx="39">
                  <c:v>44631</c:v>
                </c:pt>
                <c:pt idx="40">
                  <c:v>44638</c:v>
                </c:pt>
                <c:pt idx="41">
                  <c:v>44645</c:v>
                </c:pt>
                <c:pt idx="42">
                  <c:v>44652</c:v>
                </c:pt>
                <c:pt idx="43">
                  <c:v>44659</c:v>
                </c:pt>
                <c:pt idx="44">
                  <c:v>44666</c:v>
                </c:pt>
                <c:pt idx="45">
                  <c:v>44673</c:v>
                </c:pt>
                <c:pt idx="46">
                  <c:v>44680</c:v>
                </c:pt>
                <c:pt idx="47">
                  <c:v>44687</c:v>
                </c:pt>
                <c:pt idx="48">
                  <c:v>44694</c:v>
                </c:pt>
                <c:pt idx="49">
                  <c:v>44701</c:v>
                </c:pt>
                <c:pt idx="50">
                  <c:v>44708</c:v>
                </c:pt>
                <c:pt idx="51">
                  <c:v>44715</c:v>
                </c:pt>
                <c:pt idx="52">
                  <c:v>44722</c:v>
                </c:pt>
                <c:pt idx="53">
                  <c:v>44729</c:v>
                </c:pt>
                <c:pt idx="54">
                  <c:v>44736</c:v>
                </c:pt>
                <c:pt idx="55">
                  <c:v>44743</c:v>
                </c:pt>
                <c:pt idx="56">
                  <c:v>44750</c:v>
                </c:pt>
                <c:pt idx="57">
                  <c:v>44757</c:v>
                </c:pt>
                <c:pt idx="58">
                  <c:v>44764</c:v>
                </c:pt>
                <c:pt idx="59">
                  <c:v>44771</c:v>
                </c:pt>
                <c:pt idx="60">
                  <c:v>44778</c:v>
                </c:pt>
                <c:pt idx="61">
                  <c:v>44785</c:v>
                </c:pt>
                <c:pt idx="62">
                  <c:v>44792</c:v>
                </c:pt>
                <c:pt idx="63">
                  <c:v>44799</c:v>
                </c:pt>
                <c:pt idx="64">
                  <c:v>44806</c:v>
                </c:pt>
                <c:pt idx="65">
                  <c:v>44813</c:v>
                </c:pt>
                <c:pt idx="66">
                  <c:v>44820</c:v>
                </c:pt>
                <c:pt idx="67">
                  <c:v>44827</c:v>
                </c:pt>
                <c:pt idx="68">
                  <c:v>44834</c:v>
                </c:pt>
                <c:pt idx="69">
                  <c:v>44841</c:v>
                </c:pt>
                <c:pt idx="70">
                  <c:v>44848</c:v>
                </c:pt>
                <c:pt idx="71">
                  <c:v>44855</c:v>
                </c:pt>
                <c:pt idx="72">
                  <c:v>44862</c:v>
                </c:pt>
                <c:pt idx="73">
                  <c:v>44869</c:v>
                </c:pt>
                <c:pt idx="74">
                  <c:v>44876</c:v>
                </c:pt>
                <c:pt idx="75">
                  <c:v>44883</c:v>
                </c:pt>
                <c:pt idx="76">
                  <c:v>44890</c:v>
                </c:pt>
                <c:pt idx="77">
                  <c:v>44897</c:v>
                </c:pt>
                <c:pt idx="78">
                  <c:v>44904</c:v>
                </c:pt>
                <c:pt idx="79">
                  <c:v>44911</c:v>
                </c:pt>
                <c:pt idx="80">
                  <c:v>44918</c:v>
                </c:pt>
                <c:pt idx="81">
                  <c:v>44925</c:v>
                </c:pt>
                <c:pt idx="82">
                  <c:v>44932</c:v>
                </c:pt>
                <c:pt idx="83">
                  <c:v>44939</c:v>
                </c:pt>
                <c:pt idx="84">
                  <c:v>44946</c:v>
                </c:pt>
                <c:pt idx="85">
                  <c:v>44953</c:v>
                </c:pt>
                <c:pt idx="86">
                  <c:v>44960</c:v>
                </c:pt>
                <c:pt idx="87">
                  <c:v>44967</c:v>
                </c:pt>
                <c:pt idx="88">
                  <c:v>44974</c:v>
                </c:pt>
                <c:pt idx="89">
                  <c:v>44981</c:v>
                </c:pt>
                <c:pt idx="90">
                  <c:v>44988</c:v>
                </c:pt>
                <c:pt idx="91">
                  <c:v>44995</c:v>
                </c:pt>
                <c:pt idx="92">
                  <c:v>45002</c:v>
                </c:pt>
                <c:pt idx="93">
                  <c:v>45009</c:v>
                </c:pt>
                <c:pt idx="94">
                  <c:v>45016</c:v>
                </c:pt>
                <c:pt idx="95">
                  <c:v>45023</c:v>
                </c:pt>
                <c:pt idx="96">
                  <c:v>45030</c:v>
                </c:pt>
                <c:pt idx="97">
                  <c:v>45037</c:v>
                </c:pt>
                <c:pt idx="98">
                  <c:v>45044</c:v>
                </c:pt>
                <c:pt idx="99">
                  <c:v>45051</c:v>
                </c:pt>
                <c:pt idx="100">
                  <c:v>45058</c:v>
                </c:pt>
                <c:pt idx="101">
                  <c:v>45065</c:v>
                </c:pt>
                <c:pt idx="102">
                  <c:v>45072</c:v>
                </c:pt>
                <c:pt idx="103">
                  <c:v>45079</c:v>
                </c:pt>
                <c:pt idx="104">
                  <c:v>45086</c:v>
                </c:pt>
                <c:pt idx="105">
                  <c:v>45093</c:v>
                </c:pt>
                <c:pt idx="106">
                  <c:v>45100</c:v>
                </c:pt>
                <c:pt idx="107">
                  <c:v>45107</c:v>
                </c:pt>
                <c:pt idx="108">
                  <c:v>45114</c:v>
                </c:pt>
                <c:pt idx="109">
                  <c:v>45121</c:v>
                </c:pt>
                <c:pt idx="110">
                  <c:v>45128</c:v>
                </c:pt>
                <c:pt idx="111">
                  <c:v>45135</c:v>
                </c:pt>
                <c:pt idx="112">
                  <c:v>45142</c:v>
                </c:pt>
                <c:pt idx="113">
                  <c:v>45149</c:v>
                </c:pt>
                <c:pt idx="114">
                  <c:v>45156</c:v>
                </c:pt>
                <c:pt idx="115">
                  <c:v>45163</c:v>
                </c:pt>
                <c:pt idx="116">
                  <c:v>45170</c:v>
                </c:pt>
                <c:pt idx="117">
                  <c:v>45177</c:v>
                </c:pt>
                <c:pt idx="118">
                  <c:v>45184</c:v>
                </c:pt>
                <c:pt idx="119">
                  <c:v>45191</c:v>
                </c:pt>
                <c:pt idx="120">
                  <c:v>45198</c:v>
                </c:pt>
                <c:pt idx="121">
                  <c:v>45205</c:v>
                </c:pt>
                <c:pt idx="122">
                  <c:v>45212</c:v>
                </c:pt>
                <c:pt idx="123">
                  <c:v>45219</c:v>
                </c:pt>
                <c:pt idx="124">
                  <c:v>45226</c:v>
                </c:pt>
                <c:pt idx="125">
                  <c:v>45233</c:v>
                </c:pt>
                <c:pt idx="126">
                  <c:v>45240</c:v>
                </c:pt>
                <c:pt idx="127">
                  <c:v>45247</c:v>
                </c:pt>
                <c:pt idx="128">
                  <c:v>45254</c:v>
                </c:pt>
                <c:pt idx="129">
                  <c:v>45261</c:v>
                </c:pt>
                <c:pt idx="130">
                  <c:v>45268</c:v>
                </c:pt>
                <c:pt idx="131">
                  <c:v>45275</c:v>
                </c:pt>
                <c:pt idx="132">
                  <c:v>45282</c:v>
                </c:pt>
                <c:pt idx="133">
                  <c:v>45289</c:v>
                </c:pt>
                <c:pt idx="134">
                  <c:v>45296</c:v>
                </c:pt>
                <c:pt idx="135">
                  <c:v>45303</c:v>
                </c:pt>
                <c:pt idx="136">
                  <c:v>45310</c:v>
                </c:pt>
                <c:pt idx="137">
                  <c:v>45317</c:v>
                </c:pt>
                <c:pt idx="138">
                  <c:v>45324</c:v>
                </c:pt>
                <c:pt idx="139">
                  <c:v>45331</c:v>
                </c:pt>
                <c:pt idx="140">
                  <c:v>45338</c:v>
                </c:pt>
                <c:pt idx="141">
                  <c:v>45345</c:v>
                </c:pt>
                <c:pt idx="142">
                  <c:v>45352</c:v>
                </c:pt>
                <c:pt idx="143">
                  <c:v>45359</c:v>
                </c:pt>
                <c:pt idx="144">
                  <c:v>45366</c:v>
                </c:pt>
                <c:pt idx="145">
                  <c:v>45373</c:v>
                </c:pt>
                <c:pt idx="146">
                  <c:v>45380</c:v>
                </c:pt>
                <c:pt idx="147">
                  <c:v>45387</c:v>
                </c:pt>
                <c:pt idx="148">
                  <c:v>45394</c:v>
                </c:pt>
                <c:pt idx="149">
                  <c:v>45401</c:v>
                </c:pt>
                <c:pt idx="150">
                  <c:v>45408</c:v>
                </c:pt>
                <c:pt idx="151">
                  <c:v>45415</c:v>
                </c:pt>
                <c:pt idx="152">
                  <c:v>45422</c:v>
                </c:pt>
                <c:pt idx="153">
                  <c:v>45429</c:v>
                </c:pt>
                <c:pt idx="154">
                  <c:v>45436</c:v>
                </c:pt>
                <c:pt idx="155">
                  <c:v>45443</c:v>
                </c:pt>
                <c:pt idx="156">
                  <c:v>45450</c:v>
                </c:pt>
                <c:pt idx="157">
                  <c:v>45457</c:v>
                </c:pt>
                <c:pt idx="158">
                  <c:v>45464</c:v>
                </c:pt>
                <c:pt idx="159">
                  <c:v>45471</c:v>
                </c:pt>
                <c:pt idx="160">
                  <c:v>45478</c:v>
                </c:pt>
                <c:pt idx="161">
                  <c:v>45485</c:v>
                </c:pt>
                <c:pt idx="162">
                  <c:v>45492</c:v>
                </c:pt>
                <c:pt idx="163">
                  <c:v>45499</c:v>
                </c:pt>
                <c:pt idx="164">
                  <c:v>45506</c:v>
                </c:pt>
                <c:pt idx="165">
                  <c:v>45513</c:v>
                </c:pt>
                <c:pt idx="166">
                  <c:v>45520</c:v>
                </c:pt>
                <c:pt idx="167">
                  <c:v>45527</c:v>
                </c:pt>
                <c:pt idx="168">
                  <c:v>45534</c:v>
                </c:pt>
                <c:pt idx="169">
                  <c:v>45541</c:v>
                </c:pt>
                <c:pt idx="170">
                  <c:v>45548</c:v>
                </c:pt>
                <c:pt idx="171">
                  <c:v>45555</c:v>
                </c:pt>
                <c:pt idx="172">
                  <c:v>45562</c:v>
                </c:pt>
                <c:pt idx="173">
                  <c:v>45569</c:v>
                </c:pt>
                <c:pt idx="174">
                  <c:v>45576</c:v>
                </c:pt>
                <c:pt idx="175">
                  <c:v>45583</c:v>
                </c:pt>
                <c:pt idx="176">
                  <c:v>45590</c:v>
                </c:pt>
                <c:pt idx="177">
                  <c:v>45597</c:v>
                </c:pt>
                <c:pt idx="178">
                  <c:v>45604</c:v>
                </c:pt>
                <c:pt idx="179">
                  <c:v>45611</c:v>
                </c:pt>
                <c:pt idx="180">
                  <c:v>45618</c:v>
                </c:pt>
                <c:pt idx="181">
                  <c:v>45625</c:v>
                </c:pt>
                <c:pt idx="182">
                  <c:v>45632</c:v>
                </c:pt>
                <c:pt idx="183">
                  <c:v>45639</c:v>
                </c:pt>
                <c:pt idx="184">
                  <c:v>45646</c:v>
                </c:pt>
                <c:pt idx="185">
                  <c:v>45653</c:v>
                </c:pt>
                <c:pt idx="186">
                  <c:v>45660</c:v>
                </c:pt>
                <c:pt idx="187">
                  <c:v>45667</c:v>
                </c:pt>
                <c:pt idx="188">
                  <c:v>45674</c:v>
                </c:pt>
                <c:pt idx="189">
                  <c:v>45681</c:v>
                </c:pt>
                <c:pt idx="190">
                  <c:v>45688</c:v>
                </c:pt>
                <c:pt idx="191">
                  <c:v>45695</c:v>
                </c:pt>
                <c:pt idx="192">
                  <c:v>45702</c:v>
                </c:pt>
                <c:pt idx="193">
                  <c:v>45709</c:v>
                </c:pt>
                <c:pt idx="194">
                  <c:v>45716</c:v>
                </c:pt>
                <c:pt idx="195">
                  <c:v>45723</c:v>
                </c:pt>
                <c:pt idx="196">
                  <c:v>45730</c:v>
                </c:pt>
                <c:pt idx="197">
                  <c:v>45737</c:v>
                </c:pt>
                <c:pt idx="198">
                  <c:v>45744</c:v>
                </c:pt>
                <c:pt idx="199">
                  <c:v>45751</c:v>
                </c:pt>
                <c:pt idx="200">
                  <c:v>45758</c:v>
                </c:pt>
                <c:pt idx="201">
                  <c:v>45765</c:v>
                </c:pt>
                <c:pt idx="202">
                  <c:v>45772</c:v>
                </c:pt>
                <c:pt idx="203">
                  <c:v>45779</c:v>
                </c:pt>
                <c:pt idx="204">
                  <c:v>45786</c:v>
                </c:pt>
                <c:pt idx="205">
                  <c:v>45793</c:v>
                </c:pt>
                <c:pt idx="206">
                  <c:v>45800</c:v>
                </c:pt>
                <c:pt idx="207">
                  <c:v>45807</c:v>
                </c:pt>
                <c:pt idx="208">
                  <c:v>45814</c:v>
                </c:pt>
                <c:pt idx="209">
                  <c:v>45821</c:v>
                </c:pt>
                <c:pt idx="210">
                  <c:v>45828</c:v>
                </c:pt>
                <c:pt idx="211">
                  <c:v>45835</c:v>
                </c:pt>
                <c:pt idx="212">
                  <c:v>45842</c:v>
                </c:pt>
                <c:pt idx="213">
                  <c:v>45849</c:v>
                </c:pt>
                <c:pt idx="214">
                  <c:v>45856</c:v>
                </c:pt>
                <c:pt idx="215">
                  <c:v>45863</c:v>
                </c:pt>
                <c:pt idx="216">
                  <c:v>45870</c:v>
                </c:pt>
                <c:pt idx="217">
                  <c:v>45877</c:v>
                </c:pt>
                <c:pt idx="218">
                  <c:v>45884</c:v>
                </c:pt>
                <c:pt idx="219">
                  <c:v>45891</c:v>
                </c:pt>
                <c:pt idx="220">
                  <c:v>45898</c:v>
                </c:pt>
                <c:pt idx="221">
                  <c:v>45905</c:v>
                </c:pt>
                <c:pt idx="222">
                  <c:v>45912</c:v>
                </c:pt>
                <c:pt idx="223">
                  <c:v>45919</c:v>
                </c:pt>
                <c:pt idx="224">
                  <c:v>45926</c:v>
                </c:pt>
                <c:pt idx="225">
                  <c:v>45933</c:v>
                </c:pt>
                <c:pt idx="226">
                  <c:v>45940</c:v>
                </c:pt>
                <c:pt idx="227">
                  <c:v>45947</c:v>
                </c:pt>
                <c:pt idx="228">
                  <c:v>45954</c:v>
                </c:pt>
                <c:pt idx="229">
                  <c:v>45961</c:v>
                </c:pt>
                <c:pt idx="230">
                  <c:v>45968</c:v>
                </c:pt>
                <c:pt idx="231">
                  <c:v>45975</c:v>
                </c:pt>
                <c:pt idx="232">
                  <c:v>45982</c:v>
                </c:pt>
                <c:pt idx="233">
                  <c:v>45989</c:v>
                </c:pt>
                <c:pt idx="234">
                  <c:v>45996</c:v>
                </c:pt>
                <c:pt idx="235">
                  <c:v>46003</c:v>
                </c:pt>
                <c:pt idx="236">
                  <c:v>46010</c:v>
                </c:pt>
                <c:pt idx="237">
                  <c:v>46017</c:v>
                </c:pt>
                <c:pt idx="238">
                  <c:v>46024</c:v>
                </c:pt>
                <c:pt idx="239">
                  <c:v>46031</c:v>
                </c:pt>
                <c:pt idx="240">
                  <c:v>46038</c:v>
                </c:pt>
                <c:pt idx="241">
                  <c:v>46045</c:v>
                </c:pt>
                <c:pt idx="242">
                  <c:v>46052</c:v>
                </c:pt>
                <c:pt idx="243">
                  <c:v>46059</c:v>
                </c:pt>
                <c:pt idx="244">
                  <c:v>46066</c:v>
                </c:pt>
                <c:pt idx="245">
                  <c:v>46073</c:v>
                </c:pt>
                <c:pt idx="246">
                  <c:v>46080</c:v>
                </c:pt>
                <c:pt idx="247">
                  <c:v>46087</c:v>
                </c:pt>
                <c:pt idx="248">
                  <c:v>46094</c:v>
                </c:pt>
                <c:pt idx="249">
                  <c:v>46101</c:v>
                </c:pt>
                <c:pt idx="250">
                  <c:v>46108</c:v>
                </c:pt>
                <c:pt idx="251">
                  <c:v>46115</c:v>
                </c:pt>
                <c:pt idx="252">
                  <c:v>46122</c:v>
                </c:pt>
                <c:pt idx="253">
                  <c:v>46129</c:v>
                </c:pt>
                <c:pt idx="254">
                  <c:v>46136</c:v>
                </c:pt>
                <c:pt idx="255">
                  <c:v>46143</c:v>
                </c:pt>
                <c:pt idx="256">
                  <c:v>46150</c:v>
                </c:pt>
                <c:pt idx="257">
                  <c:v>46157</c:v>
                </c:pt>
                <c:pt idx="258">
                  <c:v>46164</c:v>
                </c:pt>
                <c:pt idx="259">
                  <c:v>46171</c:v>
                </c:pt>
              </c:numCache>
            </c:numRef>
          </c:cat>
          <c:val>
            <c:numRef>
              <c:f>_DASH_DATA!$S$2:$S$261</c:f>
              <c:numCache>
                <c:formatCode>General</c:formatCode>
                <c:ptCount val="260"/>
                <c:pt idx="0">
                  <c:v>1.58</c:v>
                </c:pt>
                <c:pt idx="1">
                  <c:v>1.58</c:v>
                </c:pt>
                <c:pt idx="2">
                  <c:v>1.58</c:v>
                </c:pt>
                <c:pt idx="3">
                  <c:v>1.58</c:v>
                </c:pt>
                <c:pt idx="4">
                  <c:v>1.58</c:v>
                </c:pt>
                <c:pt idx="5">
                  <c:v>1.58</c:v>
                </c:pt>
                <c:pt idx="6">
                  <c:v>1.58</c:v>
                </c:pt>
                <c:pt idx="7">
                  <c:v>1.58</c:v>
                </c:pt>
                <c:pt idx="8">
                  <c:v>1.58</c:v>
                </c:pt>
                <c:pt idx="9">
                  <c:v>1.58</c:v>
                </c:pt>
                <c:pt idx="10">
                  <c:v>1.58</c:v>
                </c:pt>
                <c:pt idx="11">
                  <c:v>1.58</c:v>
                </c:pt>
                <c:pt idx="12">
                  <c:v>1.58</c:v>
                </c:pt>
                <c:pt idx="13">
                  <c:v>1.58</c:v>
                </c:pt>
                <c:pt idx="14">
                  <c:v>1.58</c:v>
                </c:pt>
                <c:pt idx="15">
                  <c:v>1.58</c:v>
                </c:pt>
                <c:pt idx="16">
                  <c:v>1.58</c:v>
                </c:pt>
                <c:pt idx="17">
                  <c:v>1.588</c:v>
                </c:pt>
                <c:pt idx="18">
                  <c:v>1.59</c:v>
                </c:pt>
                <c:pt idx="19">
                  <c:v>1.598</c:v>
                </c:pt>
                <c:pt idx="20">
                  <c:v>1.598</c:v>
                </c:pt>
                <c:pt idx="21">
                  <c:v>1.598</c:v>
                </c:pt>
                <c:pt idx="22">
                  <c:v>1.598</c:v>
                </c:pt>
                <c:pt idx="23">
                  <c:v>1.598</c:v>
                </c:pt>
                <c:pt idx="24">
                  <c:v>1.598</c:v>
                </c:pt>
                <c:pt idx="25">
                  <c:v>1.598</c:v>
                </c:pt>
                <c:pt idx="26">
                  <c:v>1.598</c:v>
                </c:pt>
                <c:pt idx="27">
                  <c:v>1.598</c:v>
                </c:pt>
                <c:pt idx="28">
                  <c:v>1.598</c:v>
                </c:pt>
                <c:pt idx="29">
                  <c:v>1.598</c:v>
                </c:pt>
                <c:pt idx="30">
                  <c:v>1.608</c:v>
                </c:pt>
                <c:pt idx="31">
                  <c:v>1.626</c:v>
                </c:pt>
                <c:pt idx="32">
                  <c:v>1.63</c:v>
                </c:pt>
                <c:pt idx="33">
                  <c:v>1.638</c:v>
                </c:pt>
                <c:pt idx="34">
                  <c:v>1.648</c:v>
                </c:pt>
                <c:pt idx="35">
                  <c:v>1.658</c:v>
                </c:pt>
                <c:pt idx="36">
                  <c:v>1.668</c:v>
                </c:pt>
                <c:pt idx="37">
                  <c:v>1.67</c:v>
                </c:pt>
                <c:pt idx="38">
                  <c:v>1.71</c:v>
                </c:pt>
                <c:pt idx="39">
                  <c:v>1.736</c:v>
                </c:pt>
                <c:pt idx="40">
                  <c:v>1.736</c:v>
                </c:pt>
                <c:pt idx="41">
                  <c:v>1.748</c:v>
                </c:pt>
                <c:pt idx="42">
                  <c:v>1.758</c:v>
                </c:pt>
                <c:pt idx="43">
                  <c:v>1.776</c:v>
                </c:pt>
                <c:pt idx="44">
                  <c:v>1.78</c:v>
                </c:pt>
                <c:pt idx="45">
                  <c:v>1.892000000000001</c:v>
                </c:pt>
                <c:pt idx="46">
                  <c:v>1.92</c:v>
                </c:pt>
                <c:pt idx="47">
                  <c:v>1.928</c:v>
                </c:pt>
                <c:pt idx="48">
                  <c:v>1.962</c:v>
                </c:pt>
                <c:pt idx="49">
                  <c:v>1.994</c:v>
                </c:pt>
                <c:pt idx="50">
                  <c:v>2.112000000000001</c:v>
                </c:pt>
                <c:pt idx="51">
                  <c:v>2.340000000000001</c:v>
                </c:pt>
                <c:pt idx="52">
                  <c:v>2.462</c:v>
                </c:pt>
                <c:pt idx="53">
                  <c:v>2.672000000000001</c:v>
                </c:pt>
                <c:pt idx="54">
                  <c:v>2.736</c:v>
                </c:pt>
                <c:pt idx="55">
                  <c:v>2.772</c:v>
                </c:pt>
                <c:pt idx="56">
                  <c:v>2.82</c:v>
                </c:pt>
                <c:pt idx="57">
                  <c:v>2.87</c:v>
                </c:pt>
                <c:pt idx="58">
                  <c:v>2.87</c:v>
                </c:pt>
                <c:pt idx="59">
                  <c:v>2.87</c:v>
                </c:pt>
                <c:pt idx="60">
                  <c:v>2.87</c:v>
                </c:pt>
                <c:pt idx="61">
                  <c:v>2.872</c:v>
                </c:pt>
                <c:pt idx="62">
                  <c:v>2.888</c:v>
                </c:pt>
                <c:pt idx="63">
                  <c:v>2.898</c:v>
                </c:pt>
                <c:pt idx="64">
                  <c:v>2.924</c:v>
                </c:pt>
                <c:pt idx="65">
                  <c:v>2.93</c:v>
                </c:pt>
                <c:pt idx="66">
                  <c:v>2.954</c:v>
                </c:pt>
                <c:pt idx="67">
                  <c:v>2.976</c:v>
                </c:pt>
                <c:pt idx="68">
                  <c:v>3.028</c:v>
                </c:pt>
                <c:pt idx="69">
                  <c:v>3.08</c:v>
                </c:pt>
                <c:pt idx="70">
                  <c:v>3.114</c:v>
                </c:pt>
                <c:pt idx="71">
                  <c:v>3.128</c:v>
                </c:pt>
                <c:pt idx="72">
                  <c:v>3.146</c:v>
                </c:pt>
                <c:pt idx="73">
                  <c:v>3.19</c:v>
                </c:pt>
                <c:pt idx="74">
                  <c:v>3.24</c:v>
                </c:pt>
                <c:pt idx="75">
                  <c:v>3.314000000000001</c:v>
                </c:pt>
                <c:pt idx="76">
                  <c:v>3.426000000000001</c:v>
                </c:pt>
                <c:pt idx="77">
                  <c:v>3.498</c:v>
                </c:pt>
                <c:pt idx="78">
                  <c:v>3.558</c:v>
                </c:pt>
                <c:pt idx="79">
                  <c:v>3.558</c:v>
                </c:pt>
                <c:pt idx="80">
                  <c:v>3.658</c:v>
                </c:pt>
                <c:pt idx="81">
                  <c:v>3.688</c:v>
                </c:pt>
                <c:pt idx="82">
                  <c:v>3.688</c:v>
                </c:pt>
                <c:pt idx="83">
                  <c:v>3.688</c:v>
                </c:pt>
                <c:pt idx="84">
                  <c:v>3.688</c:v>
                </c:pt>
                <c:pt idx="85">
                  <c:v>3.688</c:v>
                </c:pt>
                <c:pt idx="86">
                  <c:v>3.688</c:v>
                </c:pt>
                <c:pt idx="87">
                  <c:v>3.73</c:v>
                </c:pt>
                <c:pt idx="88">
                  <c:v>3.748</c:v>
                </c:pt>
                <c:pt idx="89">
                  <c:v>3.806</c:v>
                </c:pt>
                <c:pt idx="90">
                  <c:v>3.82</c:v>
                </c:pt>
                <c:pt idx="91">
                  <c:v>3.82</c:v>
                </c:pt>
                <c:pt idx="92">
                  <c:v>3.82</c:v>
                </c:pt>
                <c:pt idx="93">
                  <c:v>3.82</c:v>
                </c:pt>
                <c:pt idx="94">
                  <c:v>3.82</c:v>
                </c:pt>
                <c:pt idx="95">
                  <c:v>3.82</c:v>
                </c:pt>
                <c:pt idx="96">
                  <c:v>3.82</c:v>
                </c:pt>
                <c:pt idx="97">
                  <c:v>3.82</c:v>
                </c:pt>
                <c:pt idx="98">
                  <c:v>3.82</c:v>
                </c:pt>
                <c:pt idx="99">
                  <c:v>3.82</c:v>
                </c:pt>
                <c:pt idx="100">
                  <c:v>3.82</c:v>
                </c:pt>
                <c:pt idx="101">
                  <c:v>3.82</c:v>
                </c:pt>
                <c:pt idx="102">
                  <c:v>3.82</c:v>
                </c:pt>
                <c:pt idx="103">
                  <c:v>3.82</c:v>
                </c:pt>
                <c:pt idx="104">
                  <c:v>3.82</c:v>
                </c:pt>
                <c:pt idx="105">
                  <c:v>3.82</c:v>
                </c:pt>
                <c:pt idx="106">
                  <c:v>3.82</c:v>
                </c:pt>
                <c:pt idx="107">
                  <c:v>3.82</c:v>
                </c:pt>
                <c:pt idx="108">
                  <c:v>3.82</c:v>
                </c:pt>
                <c:pt idx="109">
                  <c:v>3.828</c:v>
                </c:pt>
                <c:pt idx="110">
                  <c:v>3.83</c:v>
                </c:pt>
                <c:pt idx="111">
                  <c:v>3.838</c:v>
                </c:pt>
                <c:pt idx="112">
                  <c:v>3.872</c:v>
                </c:pt>
                <c:pt idx="113">
                  <c:v>3.888</c:v>
                </c:pt>
                <c:pt idx="114">
                  <c:v>3.938000000000001</c:v>
                </c:pt>
                <c:pt idx="115">
                  <c:v>3.958</c:v>
                </c:pt>
                <c:pt idx="116">
                  <c:v>3.968</c:v>
                </c:pt>
                <c:pt idx="117">
                  <c:v>3.994</c:v>
                </c:pt>
                <c:pt idx="118">
                  <c:v>4.016</c:v>
                </c:pt>
                <c:pt idx="119">
                  <c:v>4.044</c:v>
                </c:pt>
                <c:pt idx="120">
                  <c:v>4.058</c:v>
                </c:pt>
                <c:pt idx="121">
                  <c:v>4.140000000000001</c:v>
                </c:pt>
                <c:pt idx="122">
                  <c:v>4.168</c:v>
                </c:pt>
                <c:pt idx="123">
                  <c:v>4.168</c:v>
                </c:pt>
                <c:pt idx="124">
                  <c:v>4.178</c:v>
                </c:pt>
                <c:pt idx="125">
                  <c:v>4.236000000000001</c:v>
                </c:pt>
                <c:pt idx="126">
                  <c:v>4.258</c:v>
                </c:pt>
                <c:pt idx="127">
                  <c:v>4.26</c:v>
                </c:pt>
                <c:pt idx="128">
                  <c:v>4.316000000000001</c:v>
                </c:pt>
                <c:pt idx="129">
                  <c:v>4.316000000000001</c:v>
                </c:pt>
                <c:pt idx="130">
                  <c:v>4.316000000000001</c:v>
                </c:pt>
                <c:pt idx="131">
                  <c:v>4.316000000000001</c:v>
                </c:pt>
                <c:pt idx="132">
                  <c:v>4.316000000000001</c:v>
                </c:pt>
                <c:pt idx="133">
                  <c:v>4.316000000000001</c:v>
                </c:pt>
                <c:pt idx="134">
                  <c:v>4.316000000000001</c:v>
                </c:pt>
                <c:pt idx="135">
                  <c:v>4.316000000000001</c:v>
                </c:pt>
                <c:pt idx="136">
                  <c:v>4.316000000000001</c:v>
                </c:pt>
                <c:pt idx="137">
                  <c:v>4.316000000000001</c:v>
                </c:pt>
                <c:pt idx="138">
                  <c:v>4.316000000000001</c:v>
                </c:pt>
                <c:pt idx="139">
                  <c:v>4.316000000000001</c:v>
                </c:pt>
                <c:pt idx="140">
                  <c:v>4.324</c:v>
                </c:pt>
                <c:pt idx="141">
                  <c:v>4.324</c:v>
                </c:pt>
                <c:pt idx="142">
                  <c:v>4.324</c:v>
                </c:pt>
                <c:pt idx="143">
                  <c:v>4.324</c:v>
                </c:pt>
                <c:pt idx="144">
                  <c:v>4.326</c:v>
                </c:pt>
                <c:pt idx="145">
                  <c:v>4.326</c:v>
                </c:pt>
                <c:pt idx="146">
                  <c:v>4.326</c:v>
                </c:pt>
                <c:pt idx="147">
                  <c:v>4.378</c:v>
                </c:pt>
                <c:pt idx="148">
                  <c:v>4.430000000000001</c:v>
                </c:pt>
                <c:pt idx="149">
                  <c:v>4.44</c:v>
                </c:pt>
                <c:pt idx="150">
                  <c:v>4.464</c:v>
                </c:pt>
                <c:pt idx="151">
                  <c:v>4.494</c:v>
                </c:pt>
                <c:pt idx="152">
                  <c:v>4.5</c:v>
                </c:pt>
                <c:pt idx="153">
                  <c:v>4.5</c:v>
                </c:pt>
                <c:pt idx="154">
                  <c:v>4.5</c:v>
                </c:pt>
                <c:pt idx="155">
                  <c:v>4.5</c:v>
                </c:pt>
                <c:pt idx="156">
                  <c:v>4.5</c:v>
                </c:pt>
                <c:pt idx="157">
                  <c:v>4.5</c:v>
                </c:pt>
                <c:pt idx="158">
                  <c:v>4.5</c:v>
                </c:pt>
                <c:pt idx="159">
                  <c:v>4.5</c:v>
                </c:pt>
                <c:pt idx="160">
                  <c:v>4.5</c:v>
                </c:pt>
                <c:pt idx="161">
                  <c:v>4.5</c:v>
                </c:pt>
                <c:pt idx="162">
                  <c:v>4.5</c:v>
                </c:pt>
                <c:pt idx="163">
                  <c:v>4.5</c:v>
                </c:pt>
                <c:pt idx="164">
                  <c:v>4.5</c:v>
                </c:pt>
                <c:pt idx="165">
                  <c:v>4.5</c:v>
                </c:pt>
                <c:pt idx="166">
                  <c:v>4.5</c:v>
                </c:pt>
                <c:pt idx="167">
                  <c:v>4.5</c:v>
                </c:pt>
                <c:pt idx="168">
                  <c:v>4.5</c:v>
                </c:pt>
                <c:pt idx="169">
                  <c:v>4.5</c:v>
                </c:pt>
                <c:pt idx="170">
                  <c:v>4.5</c:v>
                </c:pt>
                <c:pt idx="171">
                  <c:v>4.5</c:v>
                </c:pt>
                <c:pt idx="172">
                  <c:v>4.5</c:v>
                </c:pt>
                <c:pt idx="173">
                  <c:v>4.494</c:v>
                </c:pt>
                <c:pt idx="174">
                  <c:v>4.468</c:v>
                </c:pt>
                <c:pt idx="175">
                  <c:v>4.456</c:v>
                </c:pt>
                <c:pt idx="176">
                  <c:v>4.438000000000001</c:v>
                </c:pt>
                <c:pt idx="177">
                  <c:v>4.428</c:v>
                </c:pt>
                <c:pt idx="178">
                  <c:v>4.414</c:v>
                </c:pt>
                <c:pt idx="179">
                  <c:v>4.414</c:v>
                </c:pt>
                <c:pt idx="180">
                  <c:v>4.406</c:v>
                </c:pt>
                <c:pt idx="181">
                  <c:v>4.406</c:v>
                </c:pt>
                <c:pt idx="182">
                  <c:v>4.406</c:v>
                </c:pt>
                <c:pt idx="183">
                  <c:v>4.408</c:v>
                </c:pt>
                <c:pt idx="184">
                  <c:v>4.418</c:v>
                </c:pt>
                <c:pt idx="185">
                  <c:v>4.428</c:v>
                </c:pt>
                <c:pt idx="186">
                  <c:v>4.43</c:v>
                </c:pt>
                <c:pt idx="187">
                  <c:v>4.454</c:v>
                </c:pt>
                <c:pt idx="188">
                  <c:v>4.492</c:v>
                </c:pt>
                <c:pt idx="189">
                  <c:v>4.5</c:v>
                </c:pt>
                <c:pt idx="190">
                  <c:v>4.5</c:v>
                </c:pt>
                <c:pt idx="191">
                  <c:v>4.5</c:v>
                </c:pt>
                <c:pt idx="192">
                  <c:v>4.5</c:v>
                </c:pt>
                <c:pt idx="193">
                  <c:v>4.5</c:v>
                </c:pt>
                <c:pt idx="194">
                  <c:v>4.5</c:v>
                </c:pt>
                <c:pt idx="195">
                  <c:v>4.5</c:v>
                </c:pt>
                <c:pt idx="196">
                  <c:v>4.5</c:v>
                </c:pt>
                <c:pt idx="197">
                  <c:v>4.5</c:v>
                </c:pt>
                <c:pt idx="198">
                  <c:v>4.5</c:v>
                </c:pt>
                <c:pt idx="199">
                  <c:v>4.5</c:v>
                </c:pt>
                <c:pt idx="200">
                  <c:v>4.5</c:v>
                </c:pt>
                <c:pt idx="201">
                  <c:v>4.498</c:v>
                </c:pt>
                <c:pt idx="202">
                  <c:v>4.488</c:v>
                </c:pt>
                <c:pt idx="203">
                  <c:v>4.478000000000001</c:v>
                </c:pt>
                <c:pt idx="204">
                  <c:v>4.468</c:v>
                </c:pt>
                <c:pt idx="205">
                  <c:v>4.468</c:v>
                </c:pt>
                <c:pt idx="206">
                  <c:v>4.478000000000001</c:v>
                </c:pt>
                <c:pt idx="207">
                  <c:v>4.462</c:v>
                </c:pt>
                <c:pt idx="208">
                  <c:v>4.478000000000001</c:v>
                </c:pt>
                <c:pt idx="209">
                  <c:v>4.478000000000001</c:v>
                </c:pt>
                <c:pt idx="210">
                  <c:v>4.478000000000001</c:v>
                </c:pt>
                <c:pt idx="211">
                  <c:v>4.478000000000001</c:v>
                </c:pt>
                <c:pt idx="212">
                  <c:v>4.478000000000001</c:v>
                </c:pt>
                <c:pt idx="213">
                  <c:v>4.478000000000001</c:v>
                </c:pt>
                <c:pt idx="214">
                  <c:v>4.478000000000001</c:v>
                </c:pt>
                <c:pt idx="215">
                  <c:v>4.478000000000001</c:v>
                </c:pt>
                <c:pt idx="216">
                  <c:v>4.478000000000001</c:v>
                </c:pt>
                <c:pt idx="217">
                  <c:v>4.478000000000001</c:v>
                </c:pt>
                <c:pt idx="218">
                  <c:v>4.478000000000001</c:v>
                </c:pt>
                <c:pt idx="219">
                  <c:v>4.478000000000001</c:v>
                </c:pt>
                <c:pt idx="220">
                  <c:v>4.478000000000001</c:v>
                </c:pt>
                <c:pt idx="221">
                  <c:v>4.478000000000001</c:v>
                </c:pt>
                <c:pt idx="222">
                  <c:v>4.478000000000001</c:v>
                </c:pt>
                <c:pt idx="223">
                  <c:v>4.478000000000001</c:v>
                </c:pt>
                <c:pt idx="224">
                  <c:v>4.478000000000001</c:v>
                </c:pt>
                <c:pt idx="225">
                  <c:v>4.478000000000001</c:v>
                </c:pt>
                <c:pt idx="226">
                  <c:v>4.478000000000001</c:v>
                </c:pt>
                <c:pt idx="227">
                  <c:v>4.478000000000001</c:v>
                </c:pt>
                <c:pt idx="228">
                  <c:v>4.478000000000001</c:v>
                </c:pt>
                <c:pt idx="229">
                  <c:v>4.478000000000001</c:v>
                </c:pt>
                <c:pt idx="230">
                  <c:v>4.478000000000001</c:v>
                </c:pt>
                <c:pt idx="231">
                  <c:v>4.478000000000001</c:v>
                </c:pt>
                <c:pt idx="232">
                  <c:v>4.478000000000001</c:v>
                </c:pt>
                <c:pt idx="233">
                  <c:v>4.478000000000001</c:v>
                </c:pt>
                <c:pt idx="234">
                  <c:v>4.478000000000001</c:v>
                </c:pt>
                <c:pt idx="235">
                  <c:v>4.478000000000001</c:v>
                </c:pt>
                <c:pt idx="236">
                  <c:v>4.464</c:v>
                </c:pt>
                <c:pt idx="237">
                  <c:v>4.438000000000001</c:v>
                </c:pt>
                <c:pt idx="238">
                  <c:v>4.43</c:v>
                </c:pt>
                <c:pt idx="239">
                  <c:v>4.428</c:v>
                </c:pt>
                <c:pt idx="240">
                  <c:v>4.418</c:v>
                </c:pt>
                <c:pt idx="241">
                  <c:v>4.41</c:v>
                </c:pt>
                <c:pt idx="242">
                  <c:v>4.408</c:v>
                </c:pt>
                <c:pt idx="243">
                  <c:v>4.396</c:v>
                </c:pt>
                <c:pt idx="244">
                  <c:v>4.378</c:v>
                </c:pt>
                <c:pt idx="245">
                  <c:v>4.366</c:v>
                </c:pt>
                <c:pt idx="246">
                  <c:v>4.366</c:v>
                </c:pt>
                <c:pt idx="247">
                  <c:v>4.366</c:v>
                </c:pt>
                <c:pt idx="248">
                  <c:v>4.366</c:v>
                </c:pt>
                <c:pt idx="249">
                  <c:v>4.378</c:v>
                </c:pt>
                <c:pt idx="250">
                  <c:v>4.388</c:v>
                </c:pt>
                <c:pt idx="251">
                  <c:v>4.388</c:v>
                </c:pt>
                <c:pt idx="252">
                  <c:v>4.378</c:v>
                </c:pt>
                <c:pt idx="253">
                  <c:v>4.378</c:v>
                </c:pt>
                <c:pt idx="254">
                  <c:v>4.378</c:v>
                </c:pt>
                <c:pt idx="255">
                  <c:v>4.388</c:v>
                </c:pt>
                <c:pt idx="256">
                  <c:v>4.388</c:v>
                </c:pt>
                <c:pt idx="257">
                  <c:v>4.388</c:v>
                </c:pt>
                <c:pt idx="258">
                  <c:v>4.388</c:v>
                </c:pt>
                <c:pt idx="259">
                  <c:v>4.388</c:v>
                </c:pt>
              </c:numCache>
            </c:numRef>
          </c:val>
          <c:smooth val="0"/>
        </c:ser>
        <c:ser>
          <c:idx val="2"/>
          <c:order val="2"/>
          <c:tx>
            <c:v>52W P20</c:v>
          </c:tx>
          <c:spPr>
            <a:ln xmlns:a="http://schemas.openxmlformats.org/drawingml/2006/main" w="19050">
              <a:solidFill>
                <a:schemeClr val="bg2">
                  <a:lumMod val="50000"/>
                </a:schemeClr>
              </a:solidFill>
              <a:prstDash val="sysDot"/>
            </a:ln>
          </c:spPr>
          <c:marker>
            <c:symbol val="none"/>
          </c:marker>
          <c:cat>
            <c:numRef>
              <c:f>_DASH_DATA!$Q$2:$Q$261</c:f>
              <c:numCache>
                <c:formatCode>m/yyyy</c:formatCode>
                <c:ptCount val="260"/>
                <c:pt idx="0">
                  <c:v>44358</c:v>
                </c:pt>
                <c:pt idx="1">
                  <c:v>44365</c:v>
                </c:pt>
                <c:pt idx="2">
                  <c:v>44372</c:v>
                </c:pt>
                <c:pt idx="3">
                  <c:v>44379</c:v>
                </c:pt>
                <c:pt idx="4">
                  <c:v>44386</c:v>
                </c:pt>
                <c:pt idx="5">
                  <c:v>44393</c:v>
                </c:pt>
                <c:pt idx="6">
                  <c:v>44400</c:v>
                </c:pt>
                <c:pt idx="7">
                  <c:v>44407</c:v>
                </c:pt>
                <c:pt idx="8">
                  <c:v>44414</c:v>
                </c:pt>
                <c:pt idx="9">
                  <c:v>44421</c:v>
                </c:pt>
                <c:pt idx="10">
                  <c:v>44428</c:v>
                </c:pt>
                <c:pt idx="11">
                  <c:v>44435</c:v>
                </c:pt>
                <c:pt idx="12">
                  <c:v>44442</c:v>
                </c:pt>
                <c:pt idx="13">
                  <c:v>44449</c:v>
                </c:pt>
                <c:pt idx="14">
                  <c:v>44456</c:v>
                </c:pt>
                <c:pt idx="15">
                  <c:v>44463</c:v>
                </c:pt>
                <c:pt idx="16">
                  <c:v>44470</c:v>
                </c:pt>
                <c:pt idx="17">
                  <c:v>44477</c:v>
                </c:pt>
                <c:pt idx="18">
                  <c:v>44484</c:v>
                </c:pt>
                <c:pt idx="19">
                  <c:v>44491</c:v>
                </c:pt>
                <c:pt idx="20">
                  <c:v>44498</c:v>
                </c:pt>
                <c:pt idx="21">
                  <c:v>44505</c:v>
                </c:pt>
                <c:pt idx="22">
                  <c:v>44512</c:v>
                </c:pt>
                <c:pt idx="23">
                  <c:v>44519</c:v>
                </c:pt>
                <c:pt idx="24">
                  <c:v>44526</c:v>
                </c:pt>
                <c:pt idx="25">
                  <c:v>44533</c:v>
                </c:pt>
                <c:pt idx="26">
                  <c:v>44540</c:v>
                </c:pt>
                <c:pt idx="27">
                  <c:v>44547</c:v>
                </c:pt>
                <c:pt idx="28">
                  <c:v>44554</c:v>
                </c:pt>
                <c:pt idx="29">
                  <c:v>44561</c:v>
                </c:pt>
                <c:pt idx="30">
                  <c:v>44568</c:v>
                </c:pt>
                <c:pt idx="31">
                  <c:v>44575</c:v>
                </c:pt>
                <c:pt idx="32">
                  <c:v>44582</c:v>
                </c:pt>
                <c:pt idx="33">
                  <c:v>44589</c:v>
                </c:pt>
                <c:pt idx="34">
                  <c:v>44596</c:v>
                </c:pt>
                <c:pt idx="35">
                  <c:v>44603</c:v>
                </c:pt>
                <c:pt idx="36">
                  <c:v>44610</c:v>
                </c:pt>
                <c:pt idx="37">
                  <c:v>44617</c:v>
                </c:pt>
                <c:pt idx="38">
                  <c:v>44624</c:v>
                </c:pt>
                <c:pt idx="39">
                  <c:v>44631</c:v>
                </c:pt>
                <c:pt idx="40">
                  <c:v>44638</c:v>
                </c:pt>
                <c:pt idx="41">
                  <c:v>44645</c:v>
                </c:pt>
                <c:pt idx="42">
                  <c:v>44652</c:v>
                </c:pt>
                <c:pt idx="43">
                  <c:v>44659</c:v>
                </c:pt>
                <c:pt idx="44">
                  <c:v>44666</c:v>
                </c:pt>
                <c:pt idx="45">
                  <c:v>44673</c:v>
                </c:pt>
                <c:pt idx="46">
                  <c:v>44680</c:v>
                </c:pt>
                <c:pt idx="47">
                  <c:v>44687</c:v>
                </c:pt>
                <c:pt idx="48">
                  <c:v>44694</c:v>
                </c:pt>
                <c:pt idx="49">
                  <c:v>44701</c:v>
                </c:pt>
                <c:pt idx="50">
                  <c:v>44708</c:v>
                </c:pt>
                <c:pt idx="51">
                  <c:v>44715</c:v>
                </c:pt>
                <c:pt idx="52">
                  <c:v>44722</c:v>
                </c:pt>
                <c:pt idx="53">
                  <c:v>44729</c:v>
                </c:pt>
                <c:pt idx="54">
                  <c:v>44736</c:v>
                </c:pt>
                <c:pt idx="55">
                  <c:v>44743</c:v>
                </c:pt>
                <c:pt idx="56">
                  <c:v>44750</c:v>
                </c:pt>
                <c:pt idx="57">
                  <c:v>44757</c:v>
                </c:pt>
                <c:pt idx="58">
                  <c:v>44764</c:v>
                </c:pt>
                <c:pt idx="59">
                  <c:v>44771</c:v>
                </c:pt>
                <c:pt idx="60">
                  <c:v>44778</c:v>
                </c:pt>
                <c:pt idx="61">
                  <c:v>44785</c:v>
                </c:pt>
                <c:pt idx="62">
                  <c:v>44792</c:v>
                </c:pt>
                <c:pt idx="63">
                  <c:v>44799</c:v>
                </c:pt>
                <c:pt idx="64">
                  <c:v>44806</c:v>
                </c:pt>
                <c:pt idx="65">
                  <c:v>44813</c:v>
                </c:pt>
                <c:pt idx="66">
                  <c:v>44820</c:v>
                </c:pt>
                <c:pt idx="67">
                  <c:v>44827</c:v>
                </c:pt>
                <c:pt idx="68">
                  <c:v>44834</c:v>
                </c:pt>
                <c:pt idx="69">
                  <c:v>44841</c:v>
                </c:pt>
                <c:pt idx="70">
                  <c:v>44848</c:v>
                </c:pt>
                <c:pt idx="71">
                  <c:v>44855</c:v>
                </c:pt>
                <c:pt idx="72">
                  <c:v>44862</c:v>
                </c:pt>
                <c:pt idx="73">
                  <c:v>44869</c:v>
                </c:pt>
                <c:pt idx="74">
                  <c:v>44876</c:v>
                </c:pt>
                <c:pt idx="75">
                  <c:v>44883</c:v>
                </c:pt>
                <c:pt idx="76">
                  <c:v>44890</c:v>
                </c:pt>
                <c:pt idx="77">
                  <c:v>44897</c:v>
                </c:pt>
                <c:pt idx="78">
                  <c:v>44904</c:v>
                </c:pt>
                <c:pt idx="79">
                  <c:v>44911</c:v>
                </c:pt>
                <c:pt idx="80">
                  <c:v>44918</c:v>
                </c:pt>
                <c:pt idx="81">
                  <c:v>44925</c:v>
                </c:pt>
                <c:pt idx="82">
                  <c:v>44932</c:v>
                </c:pt>
                <c:pt idx="83">
                  <c:v>44939</c:v>
                </c:pt>
                <c:pt idx="84">
                  <c:v>44946</c:v>
                </c:pt>
                <c:pt idx="85">
                  <c:v>44953</c:v>
                </c:pt>
                <c:pt idx="86">
                  <c:v>44960</c:v>
                </c:pt>
                <c:pt idx="87">
                  <c:v>44967</c:v>
                </c:pt>
                <c:pt idx="88">
                  <c:v>44974</c:v>
                </c:pt>
                <c:pt idx="89">
                  <c:v>44981</c:v>
                </c:pt>
                <c:pt idx="90">
                  <c:v>44988</c:v>
                </c:pt>
                <c:pt idx="91">
                  <c:v>44995</c:v>
                </c:pt>
                <c:pt idx="92">
                  <c:v>45002</c:v>
                </c:pt>
                <c:pt idx="93">
                  <c:v>45009</c:v>
                </c:pt>
                <c:pt idx="94">
                  <c:v>45016</c:v>
                </c:pt>
                <c:pt idx="95">
                  <c:v>45023</c:v>
                </c:pt>
                <c:pt idx="96">
                  <c:v>45030</c:v>
                </c:pt>
                <c:pt idx="97">
                  <c:v>45037</c:v>
                </c:pt>
                <c:pt idx="98">
                  <c:v>45044</c:v>
                </c:pt>
                <c:pt idx="99">
                  <c:v>45051</c:v>
                </c:pt>
                <c:pt idx="100">
                  <c:v>45058</c:v>
                </c:pt>
                <c:pt idx="101">
                  <c:v>45065</c:v>
                </c:pt>
                <c:pt idx="102">
                  <c:v>45072</c:v>
                </c:pt>
                <c:pt idx="103">
                  <c:v>45079</c:v>
                </c:pt>
                <c:pt idx="104">
                  <c:v>45086</c:v>
                </c:pt>
                <c:pt idx="105">
                  <c:v>45093</c:v>
                </c:pt>
                <c:pt idx="106">
                  <c:v>45100</c:v>
                </c:pt>
                <c:pt idx="107">
                  <c:v>45107</c:v>
                </c:pt>
                <c:pt idx="108">
                  <c:v>45114</c:v>
                </c:pt>
                <c:pt idx="109">
                  <c:v>45121</c:v>
                </c:pt>
                <c:pt idx="110">
                  <c:v>45128</c:v>
                </c:pt>
                <c:pt idx="111">
                  <c:v>45135</c:v>
                </c:pt>
                <c:pt idx="112">
                  <c:v>45142</c:v>
                </c:pt>
                <c:pt idx="113">
                  <c:v>45149</c:v>
                </c:pt>
                <c:pt idx="114">
                  <c:v>45156</c:v>
                </c:pt>
                <c:pt idx="115">
                  <c:v>45163</c:v>
                </c:pt>
                <c:pt idx="116">
                  <c:v>45170</c:v>
                </c:pt>
                <c:pt idx="117">
                  <c:v>45177</c:v>
                </c:pt>
                <c:pt idx="118">
                  <c:v>45184</c:v>
                </c:pt>
                <c:pt idx="119">
                  <c:v>45191</c:v>
                </c:pt>
                <c:pt idx="120">
                  <c:v>45198</c:v>
                </c:pt>
                <c:pt idx="121">
                  <c:v>45205</c:v>
                </c:pt>
                <c:pt idx="122">
                  <c:v>45212</c:v>
                </c:pt>
                <c:pt idx="123">
                  <c:v>45219</c:v>
                </c:pt>
                <c:pt idx="124">
                  <c:v>45226</c:v>
                </c:pt>
                <c:pt idx="125">
                  <c:v>45233</c:v>
                </c:pt>
                <c:pt idx="126">
                  <c:v>45240</c:v>
                </c:pt>
                <c:pt idx="127">
                  <c:v>45247</c:v>
                </c:pt>
                <c:pt idx="128">
                  <c:v>45254</c:v>
                </c:pt>
                <c:pt idx="129">
                  <c:v>45261</c:v>
                </c:pt>
                <c:pt idx="130">
                  <c:v>45268</c:v>
                </c:pt>
                <c:pt idx="131">
                  <c:v>45275</c:v>
                </c:pt>
                <c:pt idx="132">
                  <c:v>45282</c:v>
                </c:pt>
                <c:pt idx="133">
                  <c:v>45289</c:v>
                </c:pt>
                <c:pt idx="134">
                  <c:v>45296</c:v>
                </c:pt>
                <c:pt idx="135">
                  <c:v>45303</c:v>
                </c:pt>
                <c:pt idx="136">
                  <c:v>45310</c:v>
                </c:pt>
                <c:pt idx="137">
                  <c:v>45317</c:v>
                </c:pt>
                <c:pt idx="138">
                  <c:v>45324</c:v>
                </c:pt>
                <c:pt idx="139">
                  <c:v>45331</c:v>
                </c:pt>
                <c:pt idx="140">
                  <c:v>45338</c:v>
                </c:pt>
                <c:pt idx="141">
                  <c:v>45345</c:v>
                </c:pt>
                <c:pt idx="142">
                  <c:v>45352</c:v>
                </c:pt>
                <c:pt idx="143">
                  <c:v>45359</c:v>
                </c:pt>
                <c:pt idx="144">
                  <c:v>45366</c:v>
                </c:pt>
                <c:pt idx="145">
                  <c:v>45373</c:v>
                </c:pt>
                <c:pt idx="146">
                  <c:v>45380</c:v>
                </c:pt>
                <c:pt idx="147">
                  <c:v>45387</c:v>
                </c:pt>
                <c:pt idx="148">
                  <c:v>45394</c:v>
                </c:pt>
                <c:pt idx="149">
                  <c:v>45401</c:v>
                </c:pt>
                <c:pt idx="150">
                  <c:v>45408</c:v>
                </c:pt>
                <c:pt idx="151">
                  <c:v>45415</c:v>
                </c:pt>
                <c:pt idx="152">
                  <c:v>45422</c:v>
                </c:pt>
                <c:pt idx="153">
                  <c:v>45429</c:v>
                </c:pt>
                <c:pt idx="154">
                  <c:v>45436</c:v>
                </c:pt>
                <c:pt idx="155">
                  <c:v>45443</c:v>
                </c:pt>
                <c:pt idx="156">
                  <c:v>45450</c:v>
                </c:pt>
                <c:pt idx="157">
                  <c:v>45457</c:v>
                </c:pt>
                <c:pt idx="158">
                  <c:v>45464</c:v>
                </c:pt>
                <c:pt idx="159">
                  <c:v>45471</c:v>
                </c:pt>
                <c:pt idx="160">
                  <c:v>45478</c:v>
                </c:pt>
                <c:pt idx="161">
                  <c:v>45485</c:v>
                </c:pt>
                <c:pt idx="162">
                  <c:v>45492</c:v>
                </c:pt>
                <c:pt idx="163">
                  <c:v>45499</c:v>
                </c:pt>
                <c:pt idx="164">
                  <c:v>45506</c:v>
                </c:pt>
                <c:pt idx="165">
                  <c:v>45513</c:v>
                </c:pt>
                <c:pt idx="166">
                  <c:v>45520</c:v>
                </c:pt>
                <c:pt idx="167">
                  <c:v>45527</c:v>
                </c:pt>
                <c:pt idx="168">
                  <c:v>45534</c:v>
                </c:pt>
                <c:pt idx="169">
                  <c:v>45541</c:v>
                </c:pt>
                <c:pt idx="170">
                  <c:v>45548</c:v>
                </c:pt>
                <c:pt idx="171">
                  <c:v>45555</c:v>
                </c:pt>
                <c:pt idx="172">
                  <c:v>45562</c:v>
                </c:pt>
                <c:pt idx="173">
                  <c:v>45569</c:v>
                </c:pt>
                <c:pt idx="174">
                  <c:v>45576</c:v>
                </c:pt>
                <c:pt idx="175">
                  <c:v>45583</c:v>
                </c:pt>
                <c:pt idx="176">
                  <c:v>45590</c:v>
                </c:pt>
                <c:pt idx="177">
                  <c:v>45597</c:v>
                </c:pt>
                <c:pt idx="178">
                  <c:v>45604</c:v>
                </c:pt>
                <c:pt idx="179">
                  <c:v>45611</c:v>
                </c:pt>
                <c:pt idx="180">
                  <c:v>45618</c:v>
                </c:pt>
                <c:pt idx="181">
                  <c:v>45625</c:v>
                </c:pt>
                <c:pt idx="182">
                  <c:v>45632</c:v>
                </c:pt>
                <c:pt idx="183">
                  <c:v>45639</c:v>
                </c:pt>
                <c:pt idx="184">
                  <c:v>45646</c:v>
                </c:pt>
                <c:pt idx="185">
                  <c:v>45653</c:v>
                </c:pt>
                <c:pt idx="186">
                  <c:v>45660</c:v>
                </c:pt>
                <c:pt idx="187">
                  <c:v>45667</c:v>
                </c:pt>
                <c:pt idx="188">
                  <c:v>45674</c:v>
                </c:pt>
                <c:pt idx="189">
                  <c:v>45681</c:v>
                </c:pt>
                <c:pt idx="190">
                  <c:v>45688</c:v>
                </c:pt>
                <c:pt idx="191">
                  <c:v>45695</c:v>
                </c:pt>
                <c:pt idx="192">
                  <c:v>45702</c:v>
                </c:pt>
                <c:pt idx="193">
                  <c:v>45709</c:v>
                </c:pt>
                <c:pt idx="194">
                  <c:v>45716</c:v>
                </c:pt>
                <c:pt idx="195">
                  <c:v>45723</c:v>
                </c:pt>
                <c:pt idx="196">
                  <c:v>45730</c:v>
                </c:pt>
                <c:pt idx="197">
                  <c:v>45737</c:v>
                </c:pt>
                <c:pt idx="198">
                  <c:v>45744</c:v>
                </c:pt>
                <c:pt idx="199">
                  <c:v>45751</c:v>
                </c:pt>
                <c:pt idx="200">
                  <c:v>45758</c:v>
                </c:pt>
                <c:pt idx="201">
                  <c:v>45765</c:v>
                </c:pt>
                <c:pt idx="202">
                  <c:v>45772</c:v>
                </c:pt>
                <c:pt idx="203">
                  <c:v>45779</c:v>
                </c:pt>
                <c:pt idx="204">
                  <c:v>45786</c:v>
                </c:pt>
                <c:pt idx="205">
                  <c:v>45793</c:v>
                </c:pt>
                <c:pt idx="206">
                  <c:v>45800</c:v>
                </c:pt>
                <c:pt idx="207">
                  <c:v>45807</c:v>
                </c:pt>
                <c:pt idx="208">
                  <c:v>45814</c:v>
                </c:pt>
                <c:pt idx="209">
                  <c:v>45821</c:v>
                </c:pt>
                <c:pt idx="210">
                  <c:v>45828</c:v>
                </c:pt>
                <c:pt idx="211">
                  <c:v>45835</c:v>
                </c:pt>
                <c:pt idx="212">
                  <c:v>45842</c:v>
                </c:pt>
                <c:pt idx="213">
                  <c:v>45849</c:v>
                </c:pt>
                <c:pt idx="214">
                  <c:v>45856</c:v>
                </c:pt>
                <c:pt idx="215">
                  <c:v>45863</c:v>
                </c:pt>
                <c:pt idx="216">
                  <c:v>45870</c:v>
                </c:pt>
                <c:pt idx="217">
                  <c:v>45877</c:v>
                </c:pt>
                <c:pt idx="218">
                  <c:v>45884</c:v>
                </c:pt>
                <c:pt idx="219">
                  <c:v>45891</c:v>
                </c:pt>
                <c:pt idx="220">
                  <c:v>45898</c:v>
                </c:pt>
                <c:pt idx="221">
                  <c:v>45905</c:v>
                </c:pt>
                <c:pt idx="222">
                  <c:v>45912</c:v>
                </c:pt>
                <c:pt idx="223">
                  <c:v>45919</c:v>
                </c:pt>
                <c:pt idx="224">
                  <c:v>45926</c:v>
                </c:pt>
                <c:pt idx="225">
                  <c:v>45933</c:v>
                </c:pt>
                <c:pt idx="226">
                  <c:v>45940</c:v>
                </c:pt>
                <c:pt idx="227">
                  <c:v>45947</c:v>
                </c:pt>
                <c:pt idx="228">
                  <c:v>45954</c:v>
                </c:pt>
                <c:pt idx="229">
                  <c:v>45961</c:v>
                </c:pt>
                <c:pt idx="230">
                  <c:v>45968</c:v>
                </c:pt>
                <c:pt idx="231">
                  <c:v>45975</c:v>
                </c:pt>
                <c:pt idx="232">
                  <c:v>45982</c:v>
                </c:pt>
                <c:pt idx="233">
                  <c:v>45989</c:v>
                </c:pt>
                <c:pt idx="234">
                  <c:v>45996</c:v>
                </c:pt>
                <c:pt idx="235">
                  <c:v>46003</c:v>
                </c:pt>
                <c:pt idx="236">
                  <c:v>46010</c:v>
                </c:pt>
                <c:pt idx="237">
                  <c:v>46017</c:v>
                </c:pt>
                <c:pt idx="238">
                  <c:v>46024</c:v>
                </c:pt>
                <c:pt idx="239">
                  <c:v>46031</c:v>
                </c:pt>
                <c:pt idx="240">
                  <c:v>46038</c:v>
                </c:pt>
                <c:pt idx="241">
                  <c:v>46045</c:v>
                </c:pt>
                <c:pt idx="242">
                  <c:v>46052</c:v>
                </c:pt>
                <c:pt idx="243">
                  <c:v>46059</c:v>
                </c:pt>
                <c:pt idx="244">
                  <c:v>46066</c:v>
                </c:pt>
                <c:pt idx="245">
                  <c:v>46073</c:v>
                </c:pt>
                <c:pt idx="246">
                  <c:v>46080</c:v>
                </c:pt>
                <c:pt idx="247">
                  <c:v>46087</c:v>
                </c:pt>
                <c:pt idx="248">
                  <c:v>46094</c:v>
                </c:pt>
                <c:pt idx="249">
                  <c:v>46101</c:v>
                </c:pt>
                <c:pt idx="250">
                  <c:v>46108</c:v>
                </c:pt>
                <c:pt idx="251">
                  <c:v>46115</c:v>
                </c:pt>
                <c:pt idx="252">
                  <c:v>46122</c:v>
                </c:pt>
                <c:pt idx="253">
                  <c:v>46129</c:v>
                </c:pt>
                <c:pt idx="254">
                  <c:v>46136</c:v>
                </c:pt>
                <c:pt idx="255">
                  <c:v>46143</c:v>
                </c:pt>
                <c:pt idx="256">
                  <c:v>46150</c:v>
                </c:pt>
                <c:pt idx="257">
                  <c:v>46157</c:v>
                </c:pt>
                <c:pt idx="258">
                  <c:v>46164</c:v>
                </c:pt>
                <c:pt idx="259">
                  <c:v>46171</c:v>
                </c:pt>
              </c:numCache>
            </c:numRef>
          </c:cat>
          <c:val>
            <c:numRef>
              <c:f>_DASH_DATA!$T$2:$T$261</c:f>
              <c:numCache>
                <c:formatCode>General</c:formatCode>
                <c:ptCount val="260"/>
                <c:pt idx="0">
                  <c:v>0.7</c:v>
                </c:pt>
                <c:pt idx="1">
                  <c:v>0.7</c:v>
                </c:pt>
                <c:pt idx="2">
                  <c:v>0.702</c:v>
                </c:pt>
                <c:pt idx="3">
                  <c:v>0.712</c:v>
                </c:pt>
                <c:pt idx="4">
                  <c:v>0.724</c:v>
                </c:pt>
                <c:pt idx="5">
                  <c:v>0.744</c:v>
                </c:pt>
                <c:pt idx="6">
                  <c:v>0.766</c:v>
                </c:pt>
                <c:pt idx="7">
                  <c:v>0.798</c:v>
                </c:pt>
                <c:pt idx="8">
                  <c:v>0.83</c:v>
                </c:pt>
                <c:pt idx="9">
                  <c:v>0.832</c:v>
                </c:pt>
                <c:pt idx="10">
                  <c:v>0.842</c:v>
                </c:pt>
                <c:pt idx="11">
                  <c:v>0.856</c:v>
                </c:pt>
                <c:pt idx="12">
                  <c:v>0.882</c:v>
                </c:pt>
                <c:pt idx="13">
                  <c:v>0.892</c:v>
                </c:pt>
                <c:pt idx="14">
                  <c:v>0.906</c:v>
                </c:pt>
                <c:pt idx="15">
                  <c:v>0.932</c:v>
                </c:pt>
                <c:pt idx="16">
                  <c:v>0.942</c:v>
                </c:pt>
                <c:pt idx="17">
                  <c:v>0.954</c:v>
                </c:pt>
                <c:pt idx="18">
                  <c:v>0.9960000000000001</c:v>
                </c:pt>
                <c:pt idx="19">
                  <c:v>1.102</c:v>
                </c:pt>
                <c:pt idx="20">
                  <c:v>1.11</c:v>
                </c:pt>
                <c:pt idx="21">
                  <c:v>1.114</c:v>
                </c:pt>
                <c:pt idx="22">
                  <c:v>1.142</c:v>
                </c:pt>
                <c:pt idx="23">
                  <c:v>1.192</c:v>
                </c:pt>
                <c:pt idx="24">
                  <c:v>1.208</c:v>
                </c:pt>
                <c:pt idx="25">
                  <c:v>1.244</c:v>
                </c:pt>
                <c:pt idx="26">
                  <c:v>1.266</c:v>
                </c:pt>
                <c:pt idx="27">
                  <c:v>1.292</c:v>
                </c:pt>
                <c:pt idx="28">
                  <c:v>1.302</c:v>
                </c:pt>
                <c:pt idx="29">
                  <c:v>1.31</c:v>
                </c:pt>
                <c:pt idx="30">
                  <c:v>1.31</c:v>
                </c:pt>
                <c:pt idx="31">
                  <c:v>1.314</c:v>
                </c:pt>
                <c:pt idx="32">
                  <c:v>1.332</c:v>
                </c:pt>
                <c:pt idx="33">
                  <c:v>1.342</c:v>
                </c:pt>
                <c:pt idx="34">
                  <c:v>1.35</c:v>
                </c:pt>
                <c:pt idx="35">
                  <c:v>1.354</c:v>
                </c:pt>
                <c:pt idx="36">
                  <c:v>1.37</c:v>
                </c:pt>
                <c:pt idx="37">
                  <c:v>1.37</c:v>
                </c:pt>
                <c:pt idx="38">
                  <c:v>1.37</c:v>
                </c:pt>
                <c:pt idx="39">
                  <c:v>1.37</c:v>
                </c:pt>
                <c:pt idx="40">
                  <c:v>1.37</c:v>
                </c:pt>
                <c:pt idx="41">
                  <c:v>1.37</c:v>
                </c:pt>
                <c:pt idx="42">
                  <c:v>1.37</c:v>
                </c:pt>
                <c:pt idx="43">
                  <c:v>1.37</c:v>
                </c:pt>
                <c:pt idx="44">
                  <c:v>1.37</c:v>
                </c:pt>
                <c:pt idx="45">
                  <c:v>1.37</c:v>
                </c:pt>
                <c:pt idx="46">
                  <c:v>1.37</c:v>
                </c:pt>
                <c:pt idx="47">
                  <c:v>1.37</c:v>
                </c:pt>
                <c:pt idx="48">
                  <c:v>1.37</c:v>
                </c:pt>
                <c:pt idx="49">
                  <c:v>1.37</c:v>
                </c:pt>
                <c:pt idx="50">
                  <c:v>1.37</c:v>
                </c:pt>
                <c:pt idx="51">
                  <c:v>1.37</c:v>
                </c:pt>
                <c:pt idx="52">
                  <c:v>1.37</c:v>
                </c:pt>
                <c:pt idx="53">
                  <c:v>1.37</c:v>
                </c:pt>
                <c:pt idx="54">
                  <c:v>1.37</c:v>
                </c:pt>
                <c:pt idx="55">
                  <c:v>1.37</c:v>
                </c:pt>
                <c:pt idx="56">
                  <c:v>1.378</c:v>
                </c:pt>
                <c:pt idx="57">
                  <c:v>1.418</c:v>
                </c:pt>
                <c:pt idx="58">
                  <c:v>1.454</c:v>
                </c:pt>
                <c:pt idx="59">
                  <c:v>1.472</c:v>
                </c:pt>
                <c:pt idx="60">
                  <c:v>1.48</c:v>
                </c:pt>
                <c:pt idx="61">
                  <c:v>1.48</c:v>
                </c:pt>
                <c:pt idx="62">
                  <c:v>1.484</c:v>
                </c:pt>
                <c:pt idx="63">
                  <c:v>1.504</c:v>
                </c:pt>
                <c:pt idx="64">
                  <c:v>1.524</c:v>
                </c:pt>
                <c:pt idx="65">
                  <c:v>1.542</c:v>
                </c:pt>
                <c:pt idx="66">
                  <c:v>1.556</c:v>
                </c:pt>
                <c:pt idx="67">
                  <c:v>1.582</c:v>
                </c:pt>
                <c:pt idx="68">
                  <c:v>1.594</c:v>
                </c:pt>
                <c:pt idx="69">
                  <c:v>1.604</c:v>
                </c:pt>
                <c:pt idx="70">
                  <c:v>1.676</c:v>
                </c:pt>
                <c:pt idx="71">
                  <c:v>1.742</c:v>
                </c:pt>
                <c:pt idx="72">
                  <c:v>1.752</c:v>
                </c:pt>
                <c:pt idx="73">
                  <c:v>1.764</c:v>
                </c:pt>
                <c:pt idx="74">
                  <c:v>1.78</c:v>
                </c:pt>
                <c:pt idx="75">
                  <c:v>1.808</c:v>
                </c:pt>
                <c:pt idx="76">
                  <c:v>1.92</c:v>
                </c:pt>
                <c:pt idx="77">
                  <c:v>1.922</c:v>
                </c:pt>
                <c:pt idx="78">
                  <c:v>1.938</c:v>
                </c:pt>
                <c:pt idx="79">
                  <c:v>1.976</c:v>
                </c:pt>
                <c:pt idx="80">
                  <c:v>2.028</c:v>
                </c:pt>
                <c:pt idx="81">
                  <c:v>2.19</c:v>
                </c:pt>
                <c:pt idx="82">
                  <c:v>2.408</c:v>
                </c:pt>
                <c:pt idx="83">
                  <c:v>2.518</c:v>
                </c:pt>
                <c:pt idx="84">
                  <c:v>2.68</c:v>
                </c:pt>
                <c:pt idx="85">
                  <c:v>2.724</c:v>
                </c:pt>
                <c:pt idx="86">
                  <c:v>2.746</c:v>
                </c:pt>
                <c:pt idx="87">
                  <c:v>2.772</c:v>
                </c:pt>
                <c:pt idx="88">
                  <c:v>2.79</c:v>
                </c:pt>
                <c:pt idx="89">
                  <c:v>2.83</c:v>
                </c:pt>
                <c:pt idx="90">
                  <c:v>2.832</c:v>
                </c:pt>
                <c:pt idx="91">
                  <c:v>2.848</c:v>
                </c:pt>
                <c:pt idx="92">
                  <c:v>2.882</c:v>
                </c:pt>
                <c:pt idx="93">
                  <c:v>2.892</c:v>
                </c:pt>
                <c:pt idx="94">
                  <c:v>2.906</c:v>
                </c:pt>
                <c:pt idx="95">
                  <c:v>2.93</c:v>
                </c:pt>
                <c:pt idx="96">
                  <c:v>2.936</c:v>
                </c:pt>
                <c:pt idx="97">
                  <c:v>2.964</c:v>
                </c:pt>
                <c:pt idx="98">
                  <c:v>2.992</c:v>
                </c:pt>
                <c:pt idx="99">
                  <c:v>2.992</c:v>
                </c:pt>
                <c:pt idx="100">
                  <c:v>3.05</c:v>
                </c:pt>
                <c:pt idx="101">
                  <c:v>3.098</c:v>
                </c:pt>
                <c:pt idx="102">
                  <c:v>3.134</c:v>
                </c:pt>
                <c:pt idx="103">
                  <c:v>3.16</c:v>
                </c:pt>
                <c:pt idx="104">
                  <c:v>3.21</c:v>
                </c:pt>
                <c:pt idx="105">
                  <c:v>3.226</c:v>
                </c:pt>
                <c:pt idx="106">
                  <c:v>3.34</c:v>
                </c:pt>
                <c:pt idx="107">
                  <c:v>3.382</c:v>
                </c:pt>
                <c:pt idx="108">
                  <c:v>3.39</c:v>
                </c:pt>
                <c:pt idx="109">
                  <c:v>3.4</c:v>
                </c:pt>
                <c:pt idx="110">
                  <c:v>3.44</c:v>
                </c:pt>
                <c:pt idx="111">
                  <c:v>3.442</c:v>
                </c:pt>
                <c:pt idx="112">
                  <c:v>3.452</c:v>
                </c:pt>
                <c:pt idx="113">
                  <c:v>3.464</c:v>
                </c:pt>
                <c:pt idx="114">
                  <c:v>3.48</c:v>
                </c:pt>
                <c:pt idx="115">
                  <c:v>3.48</c:v>
                </c:pt>
                <c:pt idx="116">
                  <c:v>3.482</c:v>
                </c:pt>
                <c:pt idx="117">
                  <c:v>3.494</c:v>
                </c:pt>
                <c:pt idx="118">
                  <c:v>3.512</c:v>
                </c:pt>
                <c:pt idx="119">
                  <c:v>3.512</c:v>
                </c:pt>
                <c:pt idx="120">
                  <c:v>3.512</c:v>
                </c:pt>
                <c:pt idx="121">
                  <c:v>3.512</c:v>
                </c:pt>
                <c:pt idx="122">
                  <c:v>3.512</c:v>
                </c:pt>
                <c:pt idx="123">
                  <c:v>3.512</c:v>
                </c:pt>
                <c:pt idx="124">
                  <c:v>3.512</c:v>
                </c:pt>
                <c:pt idx="125">
                  <c:v>3.512</c:v>
                </c:pt>
                <c:pt idx="126">
                  <c:v>3.512</c:v>
                </c:pt>
                <c:pt idx="127">
                  <c:v>3.512</c:v>
                </c:pt>
                <c:pt idx="128">
                  <c:v>3.512</c:v>
                </c:pt>
                <c:pt idx="129">
                  <c:v>3.52</c:v>
                </c:pt>
                <c:pt idx="130">
                  <c:v>3.52</c:v>
                </c:pt>
                <c:pt idx="131">
                  <c:v>3.522</c:v>
                </c:pt>
                <c:pt idx="132">
                  <c:v>3.522</c:v>
                </c:pt>
                <c:pt idx="133">
                  <c:v>3.522</c:v>
                </c:pt>
                <c:pt idx="134">
                  <c:v>3.522</c:v>
                </c:pt>
                <c:pt idx="135">
                  <c:v>3.538</c:v>
                </c:pt>
                <c:pt idx="136">
                  <c:v>3.594</c:v>
                </c:pt>
                <c:pt idx="137">
                  <c:v>3.692</c:v>
                </c:pt>
                <c:pt idx="138">
                  <c:v>3.7</c:v>
                </c:pt>
                <c:pt idx="139">
                  <c:v>3.7</c:v>
                </c:pt>
                <c:pt idx="140">
                  <c:v>3.7</c:v>
                </c:pt>
                <c:pt idx="141">
                  <c:v>3.7</c:v>
                </c:pt>
                <c:pt idx="142">
                  <c:v>3.7</c:v>
                </c:pt>
                <c:pt idx="143">
                  <c:v>3.708</c:v>
                </c:pt>
                <c:pt idx="144">
                  <c:v>3.742</c:v>
                </c:pt>
                <c:pt idx="145">
                  <c:v>3.754</c:v>
                </c:pt>
                <c:pt idx="146">
                  <c:v>3.776</c:v>
                </c:pt>
                <c:pt idx="147">
                  <c:v>3.802</c:v>
                </c:pt>
                <c:pt idx="148">
                  <c:v>3.814</c:v>
                </c:pt>
                <c:pt idx="149">
                  <c:v>3.832</c:v>
                </c:pt>
                <c:pt idx="150">
                  <c:v>3.848</c:v>
                </c:pt>
                <c:pt idx="151">
                  <c:v>3.884</c:v>
                </c:pt>
                <c:pt idx="152">
                  <c:v>3.902</c:v>
                </c:pt>
                <c:pt idx="153">
                  <c:v>3.92</c:v>
                </c:pt>
                <c:pt idx="154">
                  <c:v>3.96</c:v>
                </c:pt>
                <c:pt idx="155">
                  <c:v>3.974</c:v>
                </c:pt>
                <c:pt idx="156">
                  <c:v>4.034</c:v>
                </c:pt>
                <c:pt idx="157">
                  <c:v>4.05</c:v>
                </c:pt>
                <c:pt idx="158">
                  <c:v>4.052</c:v>
                </c:pt>
                <c:pt idx="159">
                  <c:v>4.066</c:v>
                </c:pt>
                <c:pt idx="160">
                  <c:v>4.102</c:v>
                </c:pt>
                <c:pt idx="161">
                  <c:v>4.15</c:v>
                </c:pt>
                <c:pt idx="162">
                  <c:v>4.152</c:v>
                </c:pt>
                <c:pt idx="163">
                  <c:v>4.162</c:v>
                </c:pt>
                <c:pt idx="164">
                  <c:v>4.162</c:v>
                </c:pt>
                <c:pt idx="165">
                  <c:v>4.154</c:v>
                </c:pt>
                <c:pt idx="166">
                  <c:v>4.15</c:v>
                </c:pt>
                <c:pt idx="167">
                  <c:v>4.102</c:v>
                </c:pt>
                <c:pt idx="168">
                  <c:v>4.058</c:v>
                </c:pt>
                <c:pt idx="169">
                  <c:v>4.034</c:v>
                </c:pt>
                <c:pt idx="170">
                  <c:v>3.974</c:v>
                </c:pt>
                <c:pt idx="171">
                  <c:v>3.944</c:v>
                </c:pt>
                <c:pt idx="172">
                  <c:v>3.916</c:v>
                </c:pt>
                <c:pt idx="173">
                  <c:v>3.916</c:v>
                </c:pt>
                <c:pt idx="174">
                  <c:v>3.916</c:v>
                </c:pt>
                <c:pt idx="175">
                  <c:v>3.916</c:v>
                </c:pt>
                <c:pt idx="176">
                  <c:v>3.916</c:v>
                </c:pt>
                <c:pt idx="177">
                  <c:v>3.916</c:v>
                </c:pt>
                <c:pt idx="178">
                  <c:v>3.916</c:v>
                </c:pt>
                <c:pt idx="179">
                  <c:v>3.916</c:v>
                </c:pt>
                <c:pt idx="180">
                  <c:v>3.916</c:v>
                </c:pt>
                <c:pt idx="181">
                  <c:v>3.916</c:v>
                </c:pt>
                <c:pt idx="182">
                  <c:v>3.916</c:v>
                </c:pt>
                <c:pt idx="183">
                  <c:v>3.944</c:v>
                </c:pt>
                <c:pt idx="184">
                  <c:v>3.964</c:v>
                </c:pt>
                <c:pt idx="185">
                  <c:v>3.99</c:v>
                </c:pt>
                <c:pt idx="186">
                  <c:v>3.99</c:v>
                </c:pt>
                <c:pt idx="187">
                  <c:v>4.04</c:v>
                </c:pt>
                <c:pt idx="188">
                  <c:v>4.04</c:v>
                </c:pt>
                <c:pt idx="189">
                  <c:v>4.04</c:v>
                </c:pt>
                <c:pt idx="190">
                  <c:v>4.08</c:v>
                </c:pt>
                <c:pt idx="191">
                  <c:v>4.08</c:v>
                </c:pt>
                <c:pt idx="192">
                  <c:v>4.08</c:v>
                </c:pt>
                <c:pt idx="193">
                  <c:v>4.08</c:v>
                </c:pt>
                <c:pt idx="194">
                  <c:v>4.08</c:v>
                </c:pt>
                <c:pt idx="195">
                  <c:v>4.08</c:v>
                </c:pt>
                <c:pt idx="196">
                  <c:v>4.08</c:v>
                </c:pt>
                <c:pt idx="197">
                  <c:v>4.08</c:v>
                </c:pt>
                <c:pt idx="198">
                  <c:v>4.08</c:v>
                </c:pt>
                <c:pt idx="199">
                  <c:v>4.024</c:v>
                </c:pt>
                <c:pt idx="200">
                  <c:v>4.024</c:v>
                </c:pt>
                <c:pt idx="201">
                  <c:v>4.024</c:v>
                </c:pt>
                <c:pt idx="202">
                  <c:v>4.024</c:v>
                </c:pt>
                <c:pt idx="203">
                  <c:v>4.024</c:v>
                </c:pt>
                <c:pt idx="204">
                  <c:v>4.024</c:v>
                </c:pt>
                <c:pt idx="205">
                  <c:v>4.024</c:v>
                </c:pt>
                <c:pt idx="206">
                  <c:v>4.024</c:v>
                </c:pt>
                <c:pt idx="207">
                  <c:v>4.024</c:v>
                </c:pt>
                <c:pt idx="208">
                  <c:v>4.024</c:v>
                </c:pt>
                <c:pt idx="209">
                  <c:v>4.024</c:v>
                </c:pt>
                <c:pt idx="210">
                  <c:v>4.024</c:v>
                </c:pt>
                <c:pt idx="211">
                  <c:v>4.024</c:v>
                </c:pt>
                <c:pt idx="212">
                  <c:v>4.024</c:v>
                </c:pt>
                <c:pt idx="213">
                  <c:v>4.024</c:v>
                </c:pt>
                <c:pt idx="214">
                  <c:v>4.024</c:v>
                </c:pt>
                <c:pt idx="215">
                  <c:v>4.024</c:v>
                </c:pt>
                <c:pt idx="216">
                  <c:v>4.08</c:v>
                </c:pt>
                <c:pt idx="217">
                  <c:v>4.094</c:v>
                </c:pt>
                <c:pt idx="218">
                  <c:v>4.156000000000001</c:v>
                </c:pt>
                <c:pt idx="219">
                  <c:v>4.19</c:v>
                </c:pt>
                <c:pt idx="220">
                  <c:v>4.23</c:v>
                </c:pt>
                <c:pt idx="221">
                  <c:v>4.23</c:v>
                </c:pt>
                <c:pt idx="222">
                  <c:v>4.23</c:v>
                </c:pt>
                <c:pt idx="223">
                  <c:v>4.23</c:v>
                </c:pt>
                <c:pt idx="224">
                  <c:v>4.23</c:v>
                </c:pt>
                <c:pt idx="225">
                  <c:v>4.23</c:v>
                </c:pt>
                <c:pt idx="226">
                  <c:v>4.23</c:v>
                </c:pt>
                <c:pt idx="227">
                  <c:v>4.23</c:v>
                </c:pt>
                <c:pt idx="228">
                  <c:v>4.206</c:v>
                </c:pt>
                <c:pt idx="229">
                  <c:v>4.184</c:v>
                </c:pt>
                <c:pt idx="230">
                  <c:v>4.156000000000001</c:v>
                </c:pt>
                <c:pt idx="231">
                  <c:v>4.141999999999999</c:v>
                </c:pt>
                <c:pt idx="232">
                  <c:v>4.14</c:v>
                </c:pt>
                <c:pt idx="233">
                  <c:v>4.132</c:v>
                </c:pt>
                <c:pt idx="234">
                  <c:v>4.132</c:v>
                </c:pt>
                <c:pt idx="235">
                  <c:v>4.132</c:v>
                </c:pt>
                <c:pt idx="236">
                  <c:v>4.132</c:v>
                </c:pt>
                <c:pt idx="237">
                  <c:v>4.132</c:v>
                </c:pt>
                <c:pt idx="238">
                  <c:v>4.132</c:v>
                </c:pt>
                <c:pt idx="239">
                  <c:v>4.132</c:v>
                </c:pt>
                <c:pt idx="240">
                  <c:v>4.132</c:v>
                </c:pt>
                <c:pt idx="241">
                  <c:v>4.132</c:v>
                </c:pt>
                <c:pt idx="242">
                  <c:v>4.132</c:v>
                </c:pt>
                <c:pt idx="243">
                  <c:v>4.132</c:v>
                </c:pt>
                <c:pt idx="244">
                  <c:v>4.114</c:v>
                </c:pt>
                <c:pt idx="245">
                  <c:v>4.11</c:v>
                </c:pt>
                <c:pt idx="246">
                  <c:v>4.101999999999999</c:v>
                </c:pt>
                <c:pt idx="247">
                  <c:v>4.101999999999999</c:v>
                </c:pt>
                <c:pt idx="248">
                  <c:v>4.101999999999999</c:v>
                </c:pt>
                <c:pt idx="249">
                  <c:v>4.101999999999999</c:v>
                </c:pt>
                <c:pt idx="250">
                  <c:v>4.101999999999999</c:v>
                </c:pt>
                <c:pt idx="251">
                  <c:v>4.11</c:v>
                </c:pt>
                <c:pt idx="252">
                  <c:v>4.11</c:v>
                </c:pt>
                <c:pt idx="253">
                  <c:v>4.11</c:v>
                </c:pt>
                <c:pt idx="254">
                  <c:v>4.11</c:v>
                </c:pt>
                <c:pt idx="255">
                  <c:v>4.11</c:v>
                </c:pt>
                <c:pt idx="256">
                  <c:v>4.11</c:v>
                </c:pt>
                <c:pt idx="257">
                  <c:v>4.11</c:v>
                </c:pt>
                <c:pt idx="258">
                  <c:v>4.11</c:v>
                </c:pt>
                <c:pt idx="259">
                  <c:v>4.11</c:v>
                </c:pt>
              </c:numCache>
            </c:numRef>
          </c:val>
          <c:smooth val="0"/>
        </c:ser>
        <c:ser>
          <c:idx val="3"/>
          <c:order val="3"/>
          <c:tx>
            <c:v>Latest</c:v>
          </c:tx>
          <c:spPr>
            <a:ln xmlns:a="http://schemas.openxmlformats.org/drawingml/2006/main" w="28575">
              <a:solidFill>
                <a:schemeClr val="accent4"/>
              </a:solidFill>
              <a:prstDash val="solid"/>
            </a:ln>
          </c:spPr>
          <c:marker>
            <c:symbol val="none"/>
          </c:marker>
          <c:cat>
            <c:numRef>
              <c:f>_DASH_DATA!$Q$2:$Q$261</c:f>
              <c:numCache>
                <c:formatCode>m/yyyy</c:formatCode>
                <c:ptCount val="260"/>
                <c:pt idx="0">
                  <c:v>44358</c:v>
                </c:pt>
                <c:pt idx="1">
                  <c:v>44365</c:v>
                </c:pt>
                <c:pt idx="2">
                  <c:v>44372</c:v>
                </c:pt>
                <c:pt idx="3">
                  <c:v>44379</c:v>
                </c:pt>
                <c:pt idx="4">
                  <c:v>44386</c:v>
                </c:pt>
                <c:pt idx="5">
                  <c:v>44393</c:v>
                </c:pt>
                <c:pt idx="6">
                  <c:v>44400</c:v>
                </c:pt>
                <c:pt idx="7">
                  <c:v>44407</c:v>
                </c:pt>
                <c:pt idx="8">
                  <c:v>44414</c:v>
                </c:pt>
                <c:pt idx="9">
                  <c:v>44421</c:v>
                </c:pt>
                <c:pt idx="10">
                  <c:v>44428</c:v>
                </c:pt>
                <c:pt idx="11">
                  <c:v>44435</c:v>
                </c:pt>
                <c:pt idx="12">
                  <c:v>44442</c:v>
                </c:pt>
                <c:pt idx="13">
                  <c:v>44449</c:v>
                </c:pt>
                <c:pt idx="14">
                  <c:v>44456</c:v>
                </c:pt>
                <c:pt idx="15">
                  <c:v>44463</c:v>
                </c:pt>
                <c:pt idx="16">
                  <c:v>44470</c:v>
                </c:pt>
                <c:pt idx="17">
                  <c:v>44477</c:v>
                </c:pt>
                <c:pt idx="18">
                  <c:v>44484</c:v>
                </c:pt>
                <c:pt idx="19">
                  <c:v>44491</c:v>
                </c:pt>
                <c:pt idx="20">
                  <c:v>44498</c:v>
                </c:pt>
                <c:pt idx="21">
                  <c:v>44505</c:v>
                </c:pt>
                <c:pt idx="22">
                  <c:v>44512</c:v>
                </c:pt>
                <c:pt idx="23">
                  <c:v>44519</c:v>
                </c:pt>
                <c:pt idx="24">
                  <c:v>44526</c:v>
                </c:pt>
                <c:pt idx="25">
                  <c:v>44533</c:v>
                </c:pt>
                <c:pt idx="26">
                  <c:v>44540</c:v>
                </c:pt>
                <c:pt idx="27">
                  <c:v>44547</c:v>
                </c:pt>
                <c:pt idx="28">
                  <c:v>44554</c:v>
                </c:pt>
                <c:pt idx="29">
                  <c:v>44561</c:v>
                </c:pt>
                <c:pt idx="30">
                  <c:v>44568</c:v>
                </c:pt>
                <c:pt idx="31">
                  <c:v>44575</c:v>
                </c:pt>
                <c:pt idx="32">
                  <c:v>44582</c:v>
                </c:pt>
                <c:pt idx="33">
                  <c:v>44589</c:v>
                </c:pt>
                <c:pt idx="34">
                  <c:v>44596</c:v>
                </c:pt>
                <c:pt idx="35">
                  <c:v>44603</c:v>
                </c:pt>
                <c:pt idx="36">
                  <c:v>44610</c:v>
                </c:pt>
                <c:pt idx="37">
                  <c:v>44617</c:v>
                </c:pt>
                <c:pt idx="38">
                  <c:v>44624</c:v>
                </c:pt>
                <c:pt idx="39">
                  <c:v>44631</c:v>
                </c:pt>
                <c:pt idx="40">
                  <c:v>44638</c:v>
                </c:pt>
                <c:pt idx="41">
                  <c:v>44645</c:v>
                </c:pt>
                <c:pt idx="42">
                  <c:v>44652</c:v>
                </c:pt>
                <c:pt idx="43">
                  <c:v>44659</c:v>
                </c:pt>
                <c:pt idx="44">
                  <c:v>44666</c:v>
                </c:pt>
                <c:pt idx="45">
                  <c:v>44673</c:v>
                </c:pt>
                <c:pt idx="46">
                  <c:v>44680</c:v>
                </c:pt>
                <c:pt idx="47">
                  <c:v>44687</c:v>
                </c:pt>
                <c:pt idx="48">
                  <c:v>44694</c:v>
                </c:pt>
                <c:pt idx="49">
                  <c:v>44701</c:v>
                </c:pt>
                <c:pt idx="50">
                  <c:v>44708</c:v>
                </c:pt>
                <c:pt idx="51">
                  <c:v>44715</c:v>
                </c:pt>
                <c:pt idx="52">
                  <c:v>44722</c:v>
                </c:pt>
                <c:pt idx="53">
                  <c:v>44729</c:v>
                </c:pt>
                <c:pt idx="54">
                  <c:v>44736</c:v>
                </c:pt>
                <c:pt idx="55">
                  <c:v>44743</c:v>
                </c:pt>
                <c:pt idx="56">
                  <c:v>44750</c:v>
                </c:pt>
                <c:pt idx="57">
                  <c:v>44757</c:v>
                </c:pt>
                <c:pt idx="58">
                  <c:v>44764</c:v>
                </c:pt>
                <c:pt idx="59">
                  <c:v>44771</c:v>
                </c:pt>
                <c:pt idx="60">
                  <c:v>44778</c:v>
                </c:pt>
                <c:pt idx="61">
                  <c:v>44785</c:v>
                </c:pt>
                <c:pt idx="62">
                  <c:v>44792</c:v>
                </c:pt>
                <c:pt idx="63">
                  <c:v>44799</c:v>
                </c:pt>
                <c:pt idx="64">
                  <c:v>44806</c:v>
                </c:pt>
                <c:pt idx="65">
                  <c:v>44813</c:v>
                </c:pt>
                <c:pt idx="66">
                  <c:v>44820</c:v>
                </c:pt>
                <c:pt idx="67">
                  <c:v>44827</c:v>
                </c:pt>
                <c:pt idx="68">
                  <c:v>44834</c:v>
                </c:pt>
                <c:pt idx="69">
                  <c:v>44841</c:v>
                </c:pt>
                <c:pt idx="70">
                  <c:v>44848</c:v>
                </c:pt>
                <c:pt idx="71">
                  <c:v>44855</c:v>
                </c:pt>
                <c:pt idx="72">
                  <c:v>44862</c:v>
                </c:pt>
                <c:pt idx="73">
                  <c:v>44869</c:v>
                </c:pt>
                <c:pt idx="74">
                  <c:v>44876</c:v>
                </c:pt>
                <c:pt idx="75">
                  <c:v>44883</c:v>
                </c:pt>
                <c:pt idx="76">
                  <c:v>44890</c:v>
                </c:pt>
                <c:pt idx="77">
                  <c:v>44897</c:v>
                </c:pt>
                <c:pt idx="78">
                  <c:v>44904</c:v>
                </c:pt>
                <c:pt idx="79">
                  <c:v>44911</c:v>
                </c:pt>
                <c:pt idx="80">
                  <c:v>44918</c:v>
                </c:pt>
                <c:pt idx="81">
                  <c:v>44925</c:v>
                </c:pt>
                <c:pt idx="82">
                  <c:v>44932</c:v>
                </c:pt>
                <c:pt idx="83">
                  <c:v>44939</c:v>
                </c:pt>
                <c:pt idx="84">
                  <c:v>44946</c:v>
                </c:pt>
                <c:pt idx="85">
                  <c:v>44953</c:v>
                </c:pt>
                <c:pt idx="86">
                  <c:v>44960</c:v>
                </c:pt>
                <c:pt idx="87">
                  <c:v>44967</c:v>
                </c:pt>
                <c:pt idx="88">
                  <c:v>44974</c:v>
                </c:pt>
                <c:pt idx="89">
                  <c:v>44981</c:v>
                </c:pt>
                <c:pt idx="90">
                  <c:v>44988</c:v>
                </c:pt>
                <c:pt idx="91">
                  <c:v>44995</c:v>
                </c:pt>
                <c:pt idx="92">
                  <c:v>45002</c:v>
                </c:pt>
                <c:pt idx="93">
                  <c:v>45009</c:v>
                </c:pt>
                <c:pt idx="94">
                  <c:v>45016</c:v>
                </c:pt>
                <c:pt idx="95">
                  <c:v>45023</c:v>
                </c:pt>
                <c:pt idx="96">
                  <c:v>45030</c:v>
                </c:pt>
                <c:pt idx="97">
                  <c:v>45037</c:v>
                </c:pt>
                <c:pt idx="98">
                  <c:v>45044</c:v>
                </c:pt>
                <c:pt idx="99">
                  <c:v>45051</c:v>
                </c:pt>
                <c:pt idx="100">
                  <c:v>45058</c:v>
                </c:pt>
                <c:pt idx="101">
                  <c:v>45065</c:v>
                </c:pt>
                <c:pt idx="102">
                  <c:v>45072</c:v>
                </c:pt>
                <c:pt idx="103">
                  <c:v>45079</c:v>
                </c:pt>
                <c:pt idx="104">
                  <c:v>45086</c:v>
                </c:pt>
                <c:pt idx="105">
                  <c:v>45093</c:v>
                </c:pt>
                <c:pt idx="106">
                  <c:v>45100</c:v>
                </c:pt>
                <c:pt idx="107">
                  <c:v>45107</c:v>
                </c:pt>
                <c:pt idx="108">
                  <c:v>45114</c:v>
                </c:pt>
                <c:pt idx="109">
                  <c:v>45121</c:v>
                </c:pt>
                <c:pt idx="110">
                  <c:v>45128</c:v>
                </c:pt>
                <c:pt idx="111">
                  <c:v>45135</c:v>
                </c:pt>
                <c:pt idx="112">
                  <c:v>45142</c:v>
                </c:pt>
                <c:pt idx="113">
                  <c:v>45149</c:v>
                </c:pt>
                <c:pt idx="114">
                  <c:v>45156</c:v>
                </c:pt>
                <c:pt idx="115">
                  <c:v>45163</c:v>
                </c:pt>
                <c:pt idx="116">
                  <c:v>45170</c:v>
                </c:pt>
                <c:pt idx="117">
                  <c:v>45177</c:v>
                </c:pt>
                <c:pt idx="118">
                  <c:v>45184</c:v>
                </c:pt>
                <c:pt idx="119">
                  <c:v>45191</c:v>
                </c:pt>
                <c:pt idx="120">
                  <c:v>45198</c:v>
                </c:pt>
                <c:pt idx="121">
                  <c:v>45205</c:v>
                </c:pt>
                <c:pt idx="122">
                  <c:v>45212</c:v>
                </c:pt>
                <c:pt idx="123">
                  <c:v>45219</c:v>
                </c:pt>
                <c:pt idx="124">
                  <c:v>45226</c:v>
                </c:pt>
                <c:pt idx="125">
                  <c:v>45233</c:v>
                </c:pt>
                <c:pt idx="126">
                  <c:v>45240</c:v>
                </c:pt>
                <c:pt idx="127">
                  <c:v>45247</c:v>
                </c:pt>
                <c:pt idx="128">
                  <c:v>45254</c:v>
                </c:pt>
                <c:pt idx="129">
                  <c:v>45261</c:v>
                </c:pt>
                <c:pt idx="130">
                  <c:v>45268</c:v>
                </c:pt>
                <c:pt idx="131">
                  <c:v>45275</c:v>
                </c:pt>
                <c:pt idx="132">
                  <c:v>45282</c:v>
                </c:pt>
                <c:pt idx="133">
                  <c:v>45289</c:v>
                </c:pt>
                <c:pt idx="134">
                  <c:v>45296</c:v>
                </c:pt>
                <c:pt idx="135">
                  <c:v>45303</c:v>
                </c:pt>
                <c:pt idx="136">
                  <c:v>45310</c:v>
                </c:pt>
                <c:pt idx="137">
                  <c:v>45317</c:v>
                </c:pt>
                <c:pt idx="138">
                  <c:v>45324</c:v>
                </c:pt>
                <c:pt idx="139">
                  <c:v>45331</c:v>
                </c:pt>
                <c:pt idx="140">
                  <c:v>45338</c:v>
                </c:pt>
                <c:pt idx="141">
                  <c:v>45345</c:v>
                </c:pt>
                <c:pt idx="142">
                  <c:v>45352</c:v>
                </c:pt>
                <c:pt idx="143">
                  <c:v>45359</c:v>
                </c:pt>
                <c:pt idx="144">
                  <c:v>45366</c:v>
                </c:pt>
                <c:pt idx="145">
                  <c:v>45373</c:v>
                </c:pt>
                <c:pt idx="146">
                  <c:v>45380</c:v>
                </c:pt>
                <c:pt idx="147">
                  <c:v>45387</c:v>
                </c:pt>
                <c:pt idx="148">
                  <c:v>45394</c:v>
                </c:pt>
                <c:pt idx="149">
                  <c:v>45401</c:v>
                </c:pt>
                <c:pt idx="150">
                  <c:v>45408</c:v>
                </c:pt>
                <c:pt idx="151">
                  <c:v>45415</c:v>
                </c:pt>
                <c:pt idx="152">
                  <c:v>45422</c:v>
                </c:pt>
                <c:pt idx="153">
                  <c:v>45429</c:v>
                </c:pt>
                <c:pt idx="154">
                  <c:v>45436</c:v>
                </c:pt>
                <c:pt idx="155">
                  <c:v>45443</c:v>
                </c:pt>
                <c:pt idx="156">
                  <c:v>45450</c:v>
                </c:pt>
                <c:pt idx="157">
                  <c:v>45457</c:v>
                </c:pt>
                <c:pt idx="158">
                  <c:v>45464</c:v>
                </c:pt>
                <c:pt idx="159">
                  <c:v>45471</c:v>
                </c:pt>
                <c:pt idx="160">
                  <c:v>45478</c:v>
                </c:pt>
                <c:pt idx="161">
                  <c:v>45485</c:v>
                </c:pt>
                <c:pt idx="162">
                  <c:v>45492</c:v>
                </c:pt>
                <c:pt idx="163">
                  <c:v>45499</c:v>
                </c:pt>
                <c:pt idx="164">
                  <c:v>45506</c:v>
                </c:pt>
                <c:pt idx="165">
                  <c:v>45513</c:v>
                </c:pt>
                <c:pt idx="166">
                  <c:v>45520</c:v>
                </c:pt>
                <c:pt idx="167">
                  <c:v>45527</c:v>
                </c:pt>
                <c:pt idx="168">
                  <c:v>45534</c:v>
                </c:pt>
                <c:pt idx="169">
                  <c:v>45541</c:v>
                </c:pt>
                <c:pt idx="170">
                  <c:v>45548</c:v>
                </c:pt>
                <c:pt idx="171">
                  <c:v>45555</c:v>
                </c:pt>
                <c:pt idx="172">
                  <c:v>45562</c:v>
                </c:pt>
                <c:pt idx="173">
                  <c:v>45569</c:v>
                </c:pt>
                <c:pt idx="174">
                  <c:v>45576</c:v>
                </c:pt>
                <c:pt idx="175">
                  <c:v>45583</c:v>
                </c:pt>
                <c:pt idx="176">
                  <c:v>45590</c:v>
                </c:pt>
                <c:pt idx="177">
                  <c:v>45597</c:v>
                </c:pt>
                <c:pt idx="178">
                  <c:v>45604</c:v>
                </c:pt>
                <c:pt idx="179">
                  <c:v>45611</c:v>
                </c:pt>
                <c:pt idx="180">
                  <c:v>45618</c:v>
                </c:pt>
                <c:pt idx="181">
                  <c:v>45625</c:v>
                </c:pt>
                <c:pt idx="182">
                  <c:v>45632</c:v>
                </c:pt>
                <c:pt idx="183">
                  <c:v>45639</c:v>
                </c:pt>
                <c:pt idx="184">
                  <c:v>45646</c:v>
                </c:pt>
                <c:pt idx="185">
                  <c:v>45653</c:v>
                </c:pt>
                <c:pt idx="186">
                  <c:v>45660</c:v>
                </c:pt>
                <c:pt idx="187">
                  <c:v>45667</c:v>
                </c:pt>
                <c:pt idx="188">
                  <c:v>45674</c:v>
                </c:pt>
                <c:pt idx="189">
                  <c:v>45681</c:v>
                </c:pt>
                <c:pt idx="190">
                  <c:v>45688</c:v>
                </c:pt>
                <c:pt idx="191">
                  <c:v>45695</c:v>
                </c:pt>
                <c:pt idx="192">
                  <c:v>45702</c:v>
                </c:pt>
                <c:pt idx="193">
                  <c:v>45709</c:v>
                </c:pt>
                <c:pt idx="194">
                  <c:v>45716</c:v>
                </c:pt>
                <c:pt idx="195">
                  <c:v>45723</c:v>
                </c:pt>
                <c:pt idx="196">
                  <c:v>45730</c:v>
                </c:pt>
                <c:pt idx="197">
                  <c:v>45737</c:v>
                </c:pt>
                <c:pt idx="198">
                  <c:v>45744</c:v>
                </c:pt>
                <c:pt idx="199">
                  <c:v>45751</c:v>
                </c:pt>
                <c:pt idx="200">
                  <c:v>45758</c:v>
                </c:pt>
                <c:pt idx="201">
                  <c:v>45765</c:v>
                </c:pt>
                <c:pt idx="202">
                  <c:v>45772</c:v>
                </c:pt>
                <c:pt idx="203">
                  <c:v>45779</c:v>
                </c:pt>
                <c:pt idx="204">
                  <c:v>45786</c:v>
                </c:pt>
                <c:pt idx="205">
                  <c:v>45793</c:v>
                </c:pt>
                <c:pt idx="206">
                  <c:v>45800</c:v>
                </c:pt>
                <c:pt idx="207">
                  <c:v>45807</c:v>
                </c:pt>
                <c:pt idx="208">
                  <c:v>45814</c:v>
                </c:pt>
                <c:pt idx="209">
                  <c:v>45821</c:v>
                </c:pt>
                <c:pt idx="210">
                  <c:v>45828</c:v>
                </c:pt>
                <c:pt idx="211">
                  <c:v>45835</c:v>
                </c:pt>
                <c:pt idx="212">
                  <c:v>45842</c:v>
                </c:pt>
                <c:pt idx="213">
                  <c:v>45849</c:v>
                </c:pt>
                <c:pt idx="214">
                  <c:v>45856</c:v>
                </c:pt>
                <c:pt idx="215">
                  <c:v>45863</c:v>
                </c:pt>
                <c:pt idx="216">
                  <c:v>45870</c:v>
                </c:pt>
                <c:pt idx="217">
                  <c:v>45877</c:v>
                </c:pt>
                <c:pt idx="218">
                  <c:v>45884</c:v>
                </c:pt>
                <c:pt idx="219">
                  <c:v>45891</c:v>
                </c:pt>
                <c:pt idx="220">
                  <c:v>45898</c:v>
                </c:pt>
                <c:pt idx="221">
                  <c:v>45905</c:v>
                </c:pt>
                <c:pt idx="222">
                  <c:v>45912</c:v>
                </c:pt>
                <c:pt idx="223">
                  <c:v>45919</c:v>
                </c:pt>
                <c:pt idx="224">
                  <c:v>45926</c:v>
                </c:pt>
                <c:pt idx="225">
                  <c:v>45933</c:v>
                </c:pt>
                <c:pt idx="226">
                  <c:v>45940</c:v>
                </c:pt>
                <c:pt idx="227">
                  <c:v>45947</c:v>
                </c:pt>
                <c:pt idx="228">
                  <c:v>45954</c:v>
                </c:pt>
                <c:pt idx="229">
                  <c:v>45961</c:v>
                </c:pt>
                <c:pt idx="230">
                  <c:v>45968</c:v>
                </c:pt>
                <c:pt idx="231">
                  <c:v>45975</c:v>
                </c:pt>
                <c:pt idx="232">
                  <c:v>45982</c:v>
                </c:pt>
                <c:pt idx="233">
                  <c:v>45989</c:v>
                </c:pt>
                <c:pt idx="234">
                  <c:v>45996</c:v>
                </c:pt>
                <c:pt idx="235">
                  <c:v>46003</c:v>
                </c:pt>
                <c:pt idx="236">
                  <c:v>46010</c:v>
                </c:pt>
                <c:pt idx="237">
                  <c:v>46017</c:v>
                </c:pt>
                <c:pt idx="238">
                  <c:v>46024</c:v>
                </c:pt>
                <c:pt idx="239">
                  <c:v>46031</c:v>
                </c:pt>
                <c:pt idx="240">
                  <c:v>46038</c:v>
                </c:pt>
                <c:pt idx="241">
                  <c:v>46045</c:v>
                </c:pt>
                <c:pt idx="242">
                  <c:v>46052</c:v>
                </c:pt>
                <c:pt idx="243">
                  <c:v>46059</c:v>
                </c:pt>
                <c:pt idx="244">
                  <c:v>46066</c:v>
                </c:pt>
                <c:pt idx="245">
                  <c:v>46073</c:v>
                </c:pt>
                <c:pt idx="246">
                  <c:v>46080</c:v>
                </c:pt>
                <c:pt idx="247">
                  <c:v>46087</c:v>
                </c:pt>
                <c:pt idx="248">
                  <c:v>46094</c:v>
                </c:pt>
                <c:pt idx="249">
                  <c:v>46101</c:v>
                </c:pt>
                <c:pt idx="250">
                  <c:v>46108</c:v>
                </c:pt>
                <c:pt idx="251">
                  <c:v>46115</c:v>
                </c:pt>
                <c:pt idx="252">
                  <c:v>46122</c:v>
                </c:pt>
                <c:pt idx="253">
                  <c:v>46129</c:v>
                </c:pt>
                <c:pt idx="254">
                  <c:v>46136</c:v>
                </c:pt>
                <c:pt idx="255">
                  <c:v>46143</c:v>
                </c:pt>
                <c:pt idx="256">
                  <c:v>46150</c:v>
                </c:pt>
                <c:pt idx="257">
                  <c:v>46157</c:v>
                </c:pt>
                <c:pt idx="258">
                  <c:v>46164</c:v>
                </c:pt>
                <c:pt idx="259">
                  <c:v>46171</c:v>
                </c:pt>
              </c:numCache>
            </c:numRef>
          </c:cat>
          <c:val>
            <c:numRef>
              <c:f>_DASH_DATA!$U$2:$U$261</c:f>
              <c:numCache>
                <c:formatCode>General</c:formatCode>
                <c:ptCount val="1"/>
                <c:pt idx="0">
                  <c:v>4.45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m/yyyy" sourceLinked="0"/>
        <c:majorTickMark val="none"/>
        <c:minorTickMark val="none"/>
        <c:tickLblPos val="low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  <a:prstDash val="solid"/>
          </a:ln>
        </c:spPr>
        <c:txPr>
          <a:bodyPr xmlns:a="http://schemas.openxmlformats.org/drawingml/2006/main" rot="-2700000" anchor="ctr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Yield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  <a:prstDash val="solid"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1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10Y Breakeven Inflation Context (Last 5Y)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400" b="1" i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10Y Breakeven Inflation</c:v>
          </c:tx>
          <c:spPr>
            <a:ln xmlns:a="http://schemas.openxmlformats.org/drawingml/2006/main" w="25400">
              <a:solidFill>
                <a:srgbClr val="002060"/>
              </a:solidFill>
              <a:prstDash val="solid"/>
            </a:ln>
          </c:spPr>
          <c:marker>
            <c:symbol val="none"/>
          </c:marker>
          <c:cat>
            <c:numRef>
              <c:f>_DASH_DATA!$X$2:$X$261</c:f>
              <c:numCache>
                <c:formatCode>m/yyyy</c:formatCode>
                <c:ptCount val="260"/>
                <c:pt idx="0">
                  <c:v>44358</c:v>
                </c:pt>
                <c:pt idx="1">
                  <c:v>44365</c:v>
                </c:pt>
                <c:pt idx="2">
                  <c:v>44372</c:v>
                </c:pt>
                <c:pt idx="3">
                  <c:v>44379</c:v>
                </c:pt>
                <c:pt idx="4">
                  <c:v>44386</c:v>
                </c:pt>
                <c:pt idx="5">
                  <c:v>44393</c:v>
                </c:pt>
                <c:pt idx="6">
                  <c:v>44400</c:v>
                </c:pt>
                <c:pt idx="7">
                  <c:v>44407</c:v>
                </c:pt>
                <c:pt idx="8">
                  <c:v>44414</c:v>
                </c:pt>
                <c:pt idx="9">
                  <c:v>44421</c:v>
                </c:pt>
                <c:pt idx="10">
                  <c:v>44428</c:v>
                </c:pt>
                <c:pt idx="11">
                  <c:v>44435</c:v>
                </c:pt>
                <c:pt idx="12">
                  <c:v>44442</c:v>
                </c:pt>
                <c:pt idx="13">
                  <c:v>44449</c:v>
                </c:pt>
                <c:pt idx="14">
                  <c:v>44456</c:v>
                </c:pt>
                <c:pt idx="15">
                  <c:v>44463</c:v>
                </c:pt>
                <c:pt idx="16">
                  <c:v>44470</c:v>
                </c:pt>
                <c:pt idx="17">
                  <c:v>44477</c:v>
                </c:pt>
                <c:pt idx="18">
                  <c:v>44484</c:v>
                </c:pt>
                <c:pt idx="19">
                  <c:v>44491</c:v>
                </c:pt>
                <c:pt idx="20">
                  <c:v>44498</c:v>
                </c:pt>
                <c:pt idx="21">
                  <c:v>44505</c:v>
                </c:pt>
                <c:pt idx="22">
                  <c:v>44512</c:v>
                </c:pt>
                <c:pt idx="23">
                  <c:v>44519</c:v>
                </c:pt>
                <c:pt idx="24">
                  <c:v>44526</c:v>
                </c:pt>
                <c:pt idx="25">
                  <c:v>44533</c:v>
                </c:pt>
                <c:pt idx="26">
                  <c:v>44540</c:v>
                </c:pt>
                <c:pt idx="27">
                  <c:v>44547</c:v>
                </c:pt>
                <c:pt idx="28">
                  <c:v>44554</c:v>
                </c:pt>
                <c:pt idx="29">
                  <c:v>44561</c:v>
                </c:pt>
                <c:pt idx="30">
                  <c:v>44568</c:v>
                </c:pt>
                <c:pt idx="31">
                  <c:v>44575</c:v>
                </c:pt>
                <c:pt idx="32">
                  <c:v>44582</c:v>
                </c:pt>
                <c:pt idx="33">
                  <c:v>44589</c:v>
                </c:pt>
                <c:pt idx="34">
                  <c:v>44596</c:v>
                </c:pt>
                <c:pt idx="35">
                  <c:v>44603</c:v>
                </c:pt>
                <c:pt idx="36">
                  <c:v>44610</c:v>
                </c:pt>
                <c:pt idx="37">
                  <c:v>44617</c:v>
                </c:pt>
                <c:pt idx="38">
                  <c:v>44624</c:v>
                </c:pt>
                <c:pt idx="39">
                  <c:v>44631</c:v>
                </c:pt>
                <c:pt idx="40">
                  <c:v>44638</c:v>
                </c:pt>
                <c:pt idx="41">
                  <c:v>44645</c:v>
                </c:pt>
                <c:pt idx="42">
                  <c:v>44652</c:v>
                </c:pt>
                <c:pt idx="43">
                  <c:v>44659</c:v>
                </c:pt>
                <c:pt idx="44">
                  <c:v>44666</c:v>
                </c:pt>
                <c:pt idx="45">
                  <c:v>44673</c:v>
                </c:pt>
                <c:pt idx="46">
                  <c:v>44680</c:v>
                </c:pt>
                <c:pt idx="47">
                  <c:v>44687</c:v>
                </c:pt>
                <c:pt idx="48">
                  <c:v>44694</c:v>
                </c:pt>
                <c:pt idx="49">
                  <c:v>44701</c:v>
                </c:pt>
                <c:pt idx="50">
                  <c:v>44708</c:v>
                </c:pt>
                <c:pt idx="51">
                  <c:v>44715</c:v>
                </c:pt>
                <c:pt idx="52">
                  <c:v>44722</c:v>
                </c:pt>
                <c:pt idx="53">
                  <c:v>44729</c:v>
                </c:pt>
                <c:pt idx="54">
                  <c:v>44736</c:v>
                </c:pt>
                <c:pt idx="55">
                  <c:v>44743</c:v>
                </c:pt>
                <c:pt idx="56">
                  <c:v>44750</c:v>
                </c:pt>
                <c:pt idx="57">
                  <c:v>44757</c:v>
                </c:pt>
                <c:pt idx="58">
                  <c:v>44764</c:v>
                </c:pt>
                <c:pt idx="59">
                  <c:v>44771</c:v>
                </c:pt>
                <c:pt idx="60">
                  <c:v>44778</c:v>
                </c:pt>
                <c:pt idx="61">
                  <c:v>44785</c:v>
                </c:pt>
                <c:pt idx="62">
                  <c:v>44792</c:v>
                </c:pt>
                <c:pt idx="63">
                  <c:v>44799</c:v>
                </c:pt>
                <c:pt idx="64">
                  <c:v>44806</c:v>
                </c:pt>
                <c:pt idx="65">
                  <c:v>44813</c:v>
                </c:pt>
                <c:pt idx="66">
                  <c:v>44820</c:v>
                </c:pt>
                <c:pt idx="67">
                  <c:v>44827</c:v>
                </c:pt>
                <c:pt idx="68">
                  <c:v>44834</c:v>
                </c:pt>
                <c:pt idx="69">
                  <c:v>44841</c:v>
                </c:pt>
                <c:pt idx="70">
                  <c:v>44848</c:v>
                </c:pt>
                <c:pt idx="71">
                  <c:v>44855</c:v>
                </c:pt>
                <c:pt idx="72">
                  <c:v>44862</c:v>
                </c:pt>
                <c:pt idx="73">
                  <c:v>44869</c:v>
                </c:pt>
                <c:pt idx="74">
                  <c:v>44876</c:v>
                </c:pt>
                <c:pt idx="75">
                  <c:v>44883</c:v>
                </c:pt>
                <c:pt idx="76">
                  <c:v>44890</c:v>
                </c:pt>
                <c:pt idx="77">
                  <c:v>44897</c:v>
                </c:pt>
                <c:pt idx="78">
                  <c:v>44904</c:v>
                </c:pt>
                <c:pt idx="79">
                  <c:v>44911</c:v>
                </c:pt>
                <c:pt idx="80">
                  <c:v>44918</c:v>
                </c:pt>
                <c:pt idx="81">
                  <c:v>44925</c:v>
                </c:pt>
                <c:pt idx="82">
                  <c:v>44932</c:v>
                </c:pt>
                <c:pt idx="83">
                  <c:v>44939</c:v>
                </c:pt>
                <c:pt idx="84">
                  <c:v>44946</c:v>
                </c:pt>
                <c:pt idx="85">
                  <c:v>44953</c:v>
                </c:pt>
                <c:pt idx="86">
                  <c:v>44960</c:v>
                </c:pt>
                <c:pt idx="87">
                  <c:v>44967</c:v>
                </c:pt>
                <c:pt idx="88">
                  <c:v>44974</c:v>
                </c:pt>
                <c:pt idx="89">
                  <c:v>44981</c:v>
                </c:pt>
                <c:pt idx="90">
                  <c:v>44988</c:v>
                </c:pt>
                <c:pt idx="91">
                  <c:v>44995</c:v>
                </c:pt>
                <c:pt idx="92">
                  <c:v>45002</c:v>
                </c:pt>
                <c:pt idx="93">
                  <c:v>45009</c:v>
                </c:pt>
                <c:pt idx="94">
                  <c:v>45016</c:v>
                </c:pt>
                <c:pt idx="95">
                  <c:v>45023</c:v>
                </c:pt>
                <c:pt idx="96">
                  <c:v>45030</c:v>
                </c:pt>
                <c:pt idx="97">
                  <c:v>45037</c:v>
                </c:pt>
                <c:pt idx="98">
                  <c:v>45044</c:v>
                </c:pt>
                <c:pt idx="99">
                  <c:v>45051</c:v>
                </c:pt>
                <c:pt idx="100">
                  <c:v>45058</c:v>
                </c:pt>
                <c:pt idx="101">
                  <c:v>45065</c:v>
                </c:pt>
                <c:pt idx="102">
                  <c:v>45072</c:v>
                </c:pt>
                <c:pt idx="103">
                  <c:v>45079</c:v>
                </c:pt>
                <c:pt idx="104">
                  <c:v>45086</c:v>
                </c:pt>
                <c:pt idx="105">
                  <c:v>45093</c:v>
                </c:pt>
                <c:pt idx="106">
                  <c:v>45100</c:v>
                </c:pt>
                <c:pt idx="107">
                  <c:v>45107</c:v>
                </c:pt>
                <c:pt idx="108">
                  <c:v>45114</c:v>
                </c:pt>
                <c:pt idx="109">
                  <c:v>45121</c:v>
                </c:pt>
                <c:pt idx="110">
                  <c:v>45128</c:v>
                </c:pt>
                <c:pt idx="111">
                  <c:v>45135</c:v>
                </c:pt>
                <c:pt idx="112">
                  <c:v>45142</c:v>
                </c:pt>
                <c:pt idx="113">
                  <c:v>45149</c:v>
                </c:pt>
                <c:pt idx="114">
                  <c:v>45156</c:v>
                </c:pt>
                <c:pt idx="115">
                  <c:v>45163</c:v>
                </c:pt>
                <c:pt idx="116">
                  <c:v>45170</c:v>
                </c:pt>
                <c:pt idx="117">
                  <c:v>45177</c:v>
                </c:pt>
                <c:pt idx="118">
                  <c:v>45184</c:v>
                </c:pt>
                <c:pt idx="119">
                  <c:v>45191</c:v>
                </c:pt>
                <c:pt idx="120">
                  <c:v>45198</c:v>
                </c:pt>
                <c:pt idx="121">
                  <c:v>45205</c:v>
                </c:pt>
                <c:pt idx="122">
                  <c:v>45212</c:v>
                </c:pt>
                <c:pt idx="123">
                  <c:v>45219</c:v>
                </c:pt>
                <c:pt idx="124">
                  <c:v>45226</c:v>
                </c:pt>
                <c:pt idx="125">
                  <c:v>45233</c:v>
                </c:pt>
                <c:pt idx="126">
                  <c:v>45240</c:v>
                </c:pt>
                <c:pt idx="127">
                  <c:v>45247</c:v>
                </c:pt>
                <c:pt idx="128">
                  <c:v>45254</c:v>
                </c:pt>
                <c:pt idx="129">
                  <c:v>45261</c:v>
                </c:pt>
                <c:pt idx="130">
                  <c:v>45268</c:v>
                </c:pt>
                <c:pt idx="131">
                  <c:v>45275</c:v>
                </c:pt>
                <c:pt idx="132">
                  <c:v>45282</c:v>
                </c:pt>
                <c:pt idx="133">
                  <c:v>45289</c:v>
                </c:pt>
                <c:pt idx="134">
                  <c:v>45296</c:v>
                </c:pt>
                <c:pt idx="135">
                  <c:v>45303</c:v>
                </c:pt>
                <c:pt idx="136">
                  <c:v>45310</c:v>
                </c:pt>
                <c:pt idx="137">
                  <c:v>45317</c:v>
                </c:pt>
                <c:pt idx="138">
                  <c:v>45324</c:v>
                </c:pt>
                <c:pt idx="139">
                  <c:v>45331</c:v>
                </c:pt>
                <c:pt idx="140">
                  <c:v>45338</c:v>
                </c:pt>
                <c:pt idx="141">
                  <c:v>45345</c:v>
                </c:pt>
                <c:pt idx="142">
                  <c:v>45352</c:v>
                </c:pt>
                <c:pt idx="143">
                  <c:v>45359</c:v>
                </c:pt>
                <c:pt idx="144">
                  <c:v>45366</c:v>
                </c:pt>
                <c:pt idx="145">
                  <c:v>45373</c:v>
                </c:pt>
                <c:pt idx="146">
                  <c:v>45380</c:v>
                </c:pt>
                <c:pt idx="147">
                  <c:v>45387</c:v>
                </c:pt>
                <c:pt idx="148">
                  <c:v>45394</c:v>
                </c:pt>
                <c:pt idx="149">
                  <c:v>45401</c:v>
                </c:pt>
                <c:pt idx="150">
                  <c:v>45408</c:v>
                </c:pt>
                <c:pt idx="151">
                  <c:v>45415</c:v>
                </c:pt>
                <c:pt idx="152">
                  <c:v>45422</c:v>
                </c:pt>
                <c:pt idx="153">
                  <c:v>45429</c:v>
                </c:pt>
                <c:pt idx="154">
                  <c:v>45436</c:v>
                </c:pt>
                <c:pt idx="155">
                  <c:v>45443</c:v>
                </c:pt>
                <c:pt idx="156">
                  <c:v>45450</c:v>
                </c:pt>
                <c:pt idx="157">
                  <c:v>45457</c:v>
                </c:pt>
                <c:pt idx="158">
                  <c:v>45464</c:v>
                </c:pt>
                <c:pt idx="159">
                  <c:v>45471</c:v>
                </c:pt>
                <c:pt idx="160">
                  <c:v>45478</c:v>
                </c:pt>
                <c:pt idx="161">
                  <c:v>45485</c:v>
                </c:pt>
                <c:pt idx="162">
                  <c:v>45492</c:v>
                </c:pt>
                <c:pt idx="163">
                  <c:v>45499</c:v>
                </c:pt>
                <c:pt idx="164">
                  <c:v>45506</c:v>
                </c:pt>
                <c:pt idx="165">
                  <c:v>45513</c:v>
                </c:pt>
                <c:pt idx="166">
                  <c:v>45520</c:v>
                </c:pt>
                <c:pt idx="167">
                  <c:v>45527</c:v>
                </c:pt>
                <c:pt idx="168">
                  <c:v>45534</c:v>
                </c:pt>
                <c:pt idx="169">
                  <c:v>45541</c:v>
                </c:pt>
                <c:pt idx="170">
                  <c:v>45548</c:v>
                </c:pt>
                <c:pt idx="171">
                  <c:v>45555</c:v>
                </c:pt>
                <c:pt idx="172">
                  <c:v>45562</c:v>
                </c:pt>
                <c:pt idx="173">
                  <c:v>45569</c:v>
                </c:pt>
                <c:pt idx="174">
                  <c:v>45576</c:v>
                </c:pt>
                <c:pt idx="175">
                  <c:v>45583</c:v>
                </c:pt>
                <c:pt idx="176">
                  <c:v>45590</c:v>
                </c:pt>
                <c:pt idx="177">
                  <c:v>45597</c:v>
                </c:pt>
                <c:pt idx="178">
                  <c:v>45604</c:v>
                </c:pt>
                <c:pt idx="179">
                  <c:v>45611</c:v>
                </c:pt>
                <c:pt idx="180">
                  <c:v>45618</c:v>
                </c:pt>
                <c:pt idx="181">
                  <c:v>45625</c:v>
                </c:pt>
                <c:pt idx="182">
                  <c:v>45632</c:v>
                </c:pt>
                <c:pt idx="183">
                  <c:v>45639</c:v>
                </c:pt>
                <c:pt idx="184">
                  <c:v>45646</c:v>
                </c:pt>
                <c:pt idx="185">
                  <c:v>45653</c:v>
                </c:pt>
                <c:pt idx="186">
                  <c:v>45660</c:v>
                </c:pt>
                <c:pt idx="187">
                  <c:v>45667</c:v>
                </c:pt>
                <c:pt idx="188">
                  <c:v>45674</c:v>
                </c:pt>
                <c:pt idx="189">
                  <c:v>45681</c:v>
                </c:pt>
                <c:pt idx="190">
                  <c:v>45688</c:v>
                </c:pt>
                <c:pt idx="191">
                  <c:v>45695</c:v>
                </c:pt>
                <c:pt idx="192">
                  <c:v>45702</c:v>
                </c:pt>
                <c:pt idx="193">
                  <c:v>45709</c:v>
                </c:pt>
                <c:pt idx="194">
                  <c:v>45716</c:v>
                </c:pt>
                <c:pt idx="195">
                  <c:v>45723</c:v>
                </c:pt>
                <c:pt idx="196">
                  <c:v>45730</c:v>
                </c:pt>
                <c:pt idx="197">
                  <c:v>45737</c:v>
                </c:pt>
                <c:pt idx="198">
                  <c:v>45744</c:v>
                </c:pt>
                <c:pt idx="199">
                  <c:v>45751</c:v>
                </c:pt>
                <c:pt idx="200">
                  <c:v>45758</c:v>
                </c:pt>
                <c:pt idx="201">
                  <c:v>45765</c:v>
                </c:pt>
                <c:pt idx="202">
                  <c:v>45772</c:v>
                </c:pt>
                <c:pt idx="203">
                  <c:v>45779</c:v>
                </c:pt>
                <c:pt idx="204">
                  <c:v>45786</c:v>
                </c:pt>
                <c:pt idx="205">
                  <c:v>45793</c:v>
                </c:pt>
                <c:pt idx="206">
                  <c:v>45800</c:v>
                </c:pt>
                <c:pt idx="207">
                  <c:v>45807</c:v>
                </c:pt>
                <c:pt idx="208">
                  <c:v>45814</c:v>
                </c:pt>
                <c:pt idx="209">
                  <c:v>45821</c:v>
                </c:pt>
                <c:pt idx="210">
                  <c:v>45828</c:v>
                </c:pt>
                <c:pt idx="211">
                  <c:v>45835</c:v>
                </c:pt>
                <c:pt idx="212">
                  <c:v>45842</c:v>
                </c:pt>
                <c:pt idx="213">
                  <c:v>45849</c:v>
                </c:pt>
                <c:pt idx="214">
                  <c:v>45856</c:v>
                </c:pt>
                <c:pt idx="215">
                  <c:v>45863</c:v>
                </c:pt>
                <c:pt idx="216">
                  <c:v>45870</c:v>
                </c:pt>
                <c:pt idx="217">
                  <c:v>45877</c:v>
                </c:pt>
                <c:pt idx="218">
                  <c:v>45884</c:v>
                </c:pt>
                <c:pt idx="219">
                  <c:v>45891</c:v>
                </c:pt>
                <c:pt idx="220">
                  <c:v>45898</c:v>
                </c:pt>
                <c:pt idx="221">
                  <c:v>45905</c:v>
                </c:pt>
                <c:pt idx="222">
                  <c:v>45912</c:v>
                </c:pt>
                <c:pt idx="223">
                  <c:v>45919</c:v>
                </c:pt>
                <c:pt idx="224">
                  <c:v>45926</c:v>
                </c:pt>
                <c:pt idx="225">
                  <c:v>45933</c:v>
                </c:pt>
                <c:pt idx="226">
                  <c:v>45940</c:v>
                </c:pt>
                <c:pt idx="227">
                  <c:v>45947</c:v>
                </c:pt>
                <c:pt idx="228">
                  <c:v>45954</c:v>
                </c:pt>
                <c:pt idx="229">
                  <c:v>45961</c:v>
                </c:pt>
                <c:pt idx="230">
                  <c:v>45968</c:v>
                </c:pt>
                <c:pt idx="231">
                  <c:v>45975</c:v>
                </c:pt>
                <c:pt idx="232">
                  <c:v>45982</c:v>
                </c:pt>
                <c:pt idx="233">
                  <c:v>45989</c:v>
                </c:pt>
                <c:pt idx="234">
                  <c:v>45996</c:v>
                </c:pt>
                <c:pt idx="235">
                  <c:v>46003</c:v>
                </c:pt>
                <c:pt idx="236">
                  <c:v>46010</c:v>
                </c:pt>
                <c:pt idx="237">
                  <c:v>46017</c:v>
                </c:pt>
                <c:pt idx="238">
                  <c:v>46024</c:v>
                </c:pt>
                <c:pt idx="239">
                  <c:v>46031</c:v>
                </c:pt>
                <c:pt idx="240">
                  <c:v>46038</c:v>
                </c:pt>
                <c:pt idx="241">
                  <c:v>46045</c:v>
                </c:pt>
                <c:pt idx="242">
                  <c:v>46052</c:v>
                </c:pt>
                <c:pt idx="243">
                  <c:v>46059</c:v>
                </c:pt>
                <c:pt idx="244">
                  <c:v>46066</c:v>
                </c:pt>
                <c:pt idx="245">
                  <c:v>46073</c:v>
                </c:pt>
                <c:pt idx="246">
                  <c:v>46080</c:v>
                </c:pt>
                <c:pt idx="247">
                  <c:v>46087</c:v>
                </c:pt>
                <c:pt idx="248">
                  <c:v>46094</c:v>
                </c:pt>
                <c:pt idx="249">
                  <c:v>46101</c:v>
                </c:pt>
                <c:pt idx="250">
                  <c:v>46108</c:v>
                </c:pt>
                <c:pt idx="251">
                  <c:v>46115</c:v>
                </c:pt>
                <c:pt idx="252">
                  <c:v>46122</c:v>
                </c:pt>
                <c:pt idx="253">
                  <c:v>46129</c:v>
                </c:pt>
                <c:pt idx="254">
                  <c:v>46136</c:v>
                </c:pt>
                <c:pt idx="255">
                  <c:v>46143</c:v>
                </c:pt>
                <c:pt idx="256">
                  <c:v>46150</c:v>
                </c:pt>
                <c:pt idx="257">
                  <c:v>46157</c:v>
                </c:pt>
                <c:pt idx="258">
                  <c:v>46164</c:v>
                </c:pt>
                <c:pt idx="259">
                  <c:v>46171</c:v>
                </c:pt>
              </c:numCache>
            </c:numRef>
          </c:cat>
          <c:val>
            <c:numRef>
              <c:f>_DASH_DATA!$Y$2:$Y$261</c:f>
              <c:numCache>
                <c:formatCode>General</c:formatCode>
                <c:ptCount val="260"/>
                <c:pt idx="0">
                  <c:v>2.32</c:v>
                </c:pt>
                <c:pt idx="1">
                  <c:v>2.24</c:v>
                </c:pt>
                <c:pt idx="2">
                  <c:v>2.34</c:v>
                </c:pt>
                <c:pt idx="3">
                  <c:v>2.33</c:v>
                </c:pt>
                <c:pt idx="4">
                  <c:v>2.28</c:v>
                </c:pt>
                <c:pt idx="5">
                  <c:v>2.33</c:v>
                </c:pt>
                <c:pt idx="6">
                  <c:v>2.35</c:v>
                </c:pt>
                <c:pt idx="7">
                  <c:v>2.4</c:v>
                </c:pt>
                <c:pt idx="8">
                  <c:v>2.37</c:v>
                </c:pt>
                <c:pt idx="9">
                  <c:v>2.37</c:v>
                </c:pt>
                <c:pt idx="10">
                  <c:v>2.27</c:v>
                </c:pt>
                <c:pt idx="11">
                  <c:v>2.39</c:v>
                </c:pt>
                <c:pt idx="12">
                  <c:v>2.34</c:v>
                </c:pt>
                <c:pt idx="13">
                  <c:v>2.4</c:v>
                </c:pt>
                <c:pt idx="14">
                  <c:v>2.33</c:v>
                </c:pt>
                <c:pt idx="15">
                  <c:v>2.34</c:v>
                </c:pt>
                <c:pt idx="16">
                  <c:v>2.38</c:v>
                </c:pt>
                <c:pt idx="17">
                  <c:v>2.5</c:v>
                </c:pt>
                <c:pt idx="18">
                  <c:v>2.56</c:v>
                </c:pt>
                <c:pt idx="19">
                  <c:v>2.64</c:v>
                </c:pt>
                <c:pt idx="20">
                  <c:v>2.51</c:v>
                </c:pt>
                <c:pt idx="21">
                  <c:v>2.54</c:v>
                </c:pt>
                <c:pt idx="22">
                  <c:v>2.73</c:v>
                </c:pt>
                <c:pt idx="23">
                  <c:v>2.65</c:v>
                </c:pt>
                <c:pt idx="24">
                  <c:v>2.55</c:v>
                </c:pt>
                <c:pt idx="25">
                  <c:v>2.43</c:v>
                </c:pt>
                <c:pt idx="26">
                  <c:v>2.44</c:v>
                </c:pt>
                <c:pt idx="27">
                  <c:v>2.38</c:v>
                </c:pt>
                <c:pt idx="28">
                  <c:v>2.47</c:v>
                </c:pt>
                <c:pt idx="29">
                  <c:v>2.56</c:v>
                </c:pt>
                <c:pt idx="30">
                  <c:v>2.48</c:v>
                </c:pt>
                <c:pt idx="31">
                  <c:v>2.44</c:v>
                </c:pt>
                <c:pt idx="32">
                  <c:v>2.34</c:v>
                </c:pt>
                <c:pt idx="33">
                  <c:v>2.44</c:v>
                </c:pt>
                <c:pt idx="34">
                  <c:v>2.41</c:v>
                </c:pt>
                <c:pt idx="35">
                  <c:v>2.43</c:v>
                </c:pt>
                <c:pt idx="36">
                  <c:v>2.41</c:v>
                </c:pt>
                <c:pt idx="37">
                  <c:v>2.54</c:v>
                </c:pt>
                <c:pt idx="38">
                  <c:v>2.67</c:v>
                </c:pt>
                <c:pt idx="39">
                  <c:v>2.94</c:v>
                </c:pt>
                <c:pt idx="40">
                  <c:v>2.86</c:v>
                </c:pt>
                <c:pt idx="41">
                  <c:v>2.95</c:v>
                </c:pt>
                <c:pt idx="42">
                  <c:v>2.8</c:v>
                </c:pt>
                <c:pt idx="43">
                  <c:v>2.87</c:v>
                </c:pt>
                <c:pt idx="44">
                  <c:v>2.89</c:v>
                </c:pt>
                <c:pt idx="45">
                  <c:v>2.98</c:v>
                </c:pt>
                <c:pt idx="46">
                  <c:v>2.88</c:v>
                </c:pt>
                <c:pt idx="47">
                  <c:v>2.86</c:v>
                </c:pt>
                <c:pt idx="48">
                  <c:v>2.69</c:v>
                </c:pt>
                <c:pt idx="49">
                  <c:v>2.55</c:v>
                </c:pt>
                <c:pt idx="50">
                  <c:v>2.63</c:v>
                </c:pt>
                <c:pt idx="51">
                  <c:v>2.74</c:v>
                </c:pt>
                <c:pt idx="52">
                  <c:v>2.76</c:v>
                </c:pt>
                <c:pt idx="53">
                  <c:v>2.58</c:v>
                </c:pt>
                <c:pt idx="54">
                  <c:v>2.56</c:v>
                </c:pt>
                <c:pt idx="55">
                  <c:v>2.34</c:v>
                </c:pt>
                <c:pt idx="56">
                  <c:v>2.37</c:v>
                </c:pt>
                <c:pt idx="57">
                  <c:v>2.36</c:v>
                </c:pt>
                <c:pt idx="58">
                  <c:v>2.34</c:v>
                </c:pt>
                <c:pt idx="59">
                  <c:v>2.53</c:v>
                </c:pt>
                <c:pt idx="60">
                  <c:v>2.46</c:v>
                </c:pt>
                <c:pt idx="61">
                  <c:v>2.47</c:v>
                </c:pt>
                <c:pt idx="62">
                  <c:v>2.55</c:v>
                </c:pt>
                <c:pt idx="63">
                  <c:v>2.57</c:v>
                </c:pt>
                <c:pt idx="64">
                  <c:v>2.47</c:v>
                </c:pt>
                <c:pt idx="65">
                  <c:v>2.42</c:v>
                </c:pt>
                <c:pt idx="66">
                  <c:v>2.38</c:v>
                </c:pt>
                <c:pt idx="67">
                  <c:v>2.37</c:v>
                </c:pt>
                <c:pt idx="68">
                  <c:v>2.15</c:v>
                </c:pt>
                <c:pt idx="69">
                  <c:v>2.27</c:v>
                </c:pt>
                <c:pt idx="70">
                  <c:v>2.41</c:v>
                </c:pt>
                <c:pt idx="71">
                  <c:v>2.52</c:v>
                </c:pt>
                <c:pt idx="72">
                  <c:v>2.51</c:v>
                </c:pt>
                <c:pt idx="73">
                  <c:v>2.48</c:v>
                </c:pt>
                <c:pt idx="74">
                  <c:v>2.39</c:v>
                </c:pt>
                <c:pt idx="75">
                  <c:v>2.25</c:v>
                </c:pt>
                <c:pt idx="76">
                  <c:v>2.32</c:v>
                </c:pt>
                <c:pt idx="77">
                  <c:v>2.43</c:v>
                </c:pt>
                <c:pt idx="78">
                  <c:v>2.26</c:v>
                </c:pt>
                <c:pt idx="79">
                  <c:v>2.13</c:v>
                </c:pt>
                <c:pt idx="80">
                  <c:v>2.2</c:v>
                </c:pt>
                <c:pt idx="81">
                  <c:v>2.3</c:v>
                </c:pt>
                <c:pt idx="82">
                  <c:v>2.21</c:v>
                </c:pt>
                <c:pt idx="83">
                  <c:v>2.18</c:v>
                </c:pt>
                <c:pt idx="84">
                  <c:v>2.23</c:v>
                </c:pt>
                <c:pt idx="85">
                  <c:v>2.33</c:v>
                </c:pt>
                <c:pt idx="86">
                  <c:v>2.22</c:v>
                </c:pt>
                <c:pt idx="87">
                  <c:v>2.33</c:v>
                </c:pt>
                <c:pt idx="88">
                  <c:v>2.36</c:v>
                </c:pt>
                <c:pt idx="89">
                  <c:v>2.38</c:v>
                </c:pt>
                <c:pt idx="90">
                  <c:v>2.52</c:v>
                </c:pt>
                <c:pt idx="91">
                  <c:v>2.26</c:v>
                </c:pt>
                <c:pt idx="92">
                  <c:v>2.1</c:v>
                </c:pt>
                <c:pt idx="93">
                  <c:v>2.22</c:v>
                </c:pt>
                <c:pt idx="94">
                  <c:v>2.32</c:v>
                </c:pt>
                <c:pt idx="95">
                  <c:v>2.25</c:v>
                </c:pt>
                <c:pt idx="96">
                  <c:v>2.3</c:v>
                </c:pt>
                <c:pt idx="97">
                  <c:v>2.28</c:v>
                </c:pt>
                <c:pt idx="98">
                  <c:v>2.18</c:v>
                </c:pt>
                <c:pt idx="99">
                  <c:v>2.21</c:v>
                </c:pt>
                <c:pt idx="100">
                  <c:v>2.18</c:v>
                </c:pt>
                <c:pt idx="101">
                  <c:v>2.24</c:v>
                </c:pt>
                <c:pt idx="102">
                  <c:v>2.23</c:v>
                </c:pt>
                <c:pt idx="103">
                  <c:v>2.18</c:v>
                </c:pt>
                <c:pt idx="104">
                  <c:v>2.2</c:v>
                </c:pt>
                <c:pt idx="105">
                  <c:v>2.22</c:v>
                </c:pt>
                <c:pt idx="106">
                  <c:v>2.21</c:v>
                </c:pt>
                <c:pt idx="107">
                  <c:v>2.22</c:v>
                </c:pt>
                <c:pt idx="108">
                  <c:v>2.27</c:v>
                </c:pt>
                <c:pt idx="109">
                  <c:v>2.24</c:v>
                </c:pt>
                <c:pt idx="110">
                  <c:v>2.35</c:v>
                </c:pt>
                <c:pt idx="111">
                  <c:v>2.38</c:v>
                </c:pt>
                <c:pt idx="112">
                  <c:v>2.38</c:v>
                </c:pt>
                <c:pt idx="113">
                  <c:v>2.36</c:v>
                </c:pt>
                <c:pt idx="114">
                  <c:v>2.32</c:v>
                </c:pt>
                <c:pt idx="115">
                  <c:v>2.33</c:v>
                </c:pt>
                <c:pt idx="116">
                  <c:v>2.26</c:v>
                </c:pt>
                <c:pt idx="117">
                  <c:v>2.33</c:v>
                </c:pt>
                <c:pt idx="118">
                  <c:v>2.35</c:v>
                </c:pt>
                <c:pt idx="119">
                  <c:v>2.37</c:v>
                </c:pt>
                <c:pt idx="120">
                  <c:v>2.35</c:v>
                </c:pt>
                <c:pt idx="121">
                  <c:v>2.31</c:v>
                </c:pt>
                <c:pt idx="122">
                  <c:v>2.34</c:v>
                </c:pt>
                <c:pt idx="123">
                  <c:v>2.47</c:v>
                </c:pt>
                <c:pt idx="124">
                  <c:v>2.42</c:v>
                </c:pt>
                <c:pt idx="125">
                  <c:v>2.39</c:v>
                </c:pt>
                <c:pt idx="126">
                  <c:v>2.32</c:v>
                </c:pt>
                <c:pt idx="127">
                  <c:v>2.28</c:v>
                </c:pt>
                <c:pt idx="128">
                  <c:v>2.26</c:v>
                </c:pt>
                <c:pt idx="129">
                  <c:v>2.22</c:v>
                </c:pt>
                <c:pt idx="130">
                  <c:v>2.21</c:v>
                </c:pt>
                <c:pt idx="131">
                  <c:v>2.22</c:v>
                </c:pt>
                <c:pt idx="132">
                  <c:v>2.19</c:v>
                </c:pt>
                <c:pt idx="133">
                  <c:v>2.16</c:v>
                </c:pt>
                <c:pt idx="134">
                  <c:v>2.22</c:v>
                </c:pt>
                <c:pt idx="135">
                  <c:v>2.27</c:v>
                </c:pt>
                <c:pt idx="136">
                  <c:v>2.34</c:v>
                </c:pt>
                <c:pt idx="137">
                  <c:v>2.3</c:v>
                </c:pt>
                <c:pt idx="138">
                  <c:v>2.21</c:v>
                </c:pt>
                <c:pt idx="139">
                  <c:v>2.25</c:v>
                </c:pt>
                <c:pt idx="140">
                  <c:v>2.33</c:v>
                </c:pt>
                <c:pt idx="141">
                  <c:v>2.3</c:v>
                </c:pt>
                <c:pt idx="142">
                  <c:v>2.32</c:v>
                </c:pt>
                <c:pt idx="143">
                  <c:v>2.28</c:v>
                </c:pt>
                <c:pt idx="144">
                  <c:v>2.32</c:v>
                </c:pt>
                <c:pt idx="145">
                  <c:v>2.35</c:v>
                </c:pt>
                <c:pt idx="146">
                  <c:v>2.32</c:v>
                </c:pt>
                <c:pt idx="147">
                  <c:v>2.37</c:v>
                </c:pt>
                <c:pt idx="148">
                  <c:v>2.39</c:v>
                </c:pt>
                <c:pt idx="149">
                  <c:v>2.41</c:v>
                </c:pt>
                <c:pt idx="150">
                  <c:v>2.43</c:v>
                </c:pt>
                <c:pt idx="151">
                  <c:v>2.35</c:v>
                </c:pt>
                <c:pt idx="152">
                  <c:v>2.34</c:v>
                </c:pt>
                <c:pt idx="153">
                  <c:v>2.32</c:v>
                </c:pt>
                <c:pt idx="154">
                  <c:v>2.32</c:v>
                </c:pt>
                <c:pt idx="155">
                  <c:v>2.35</c:v>
                </c:pt>
                <c:pt idx="156">
                  <c:v>2.3</c:v>
                </c:pt>
                <c:pt idx="157">
                  <c:v>2.17</c:v>
                </c:pt>
                <c:pt idx="158">
                  <c:v>2.23</c:v>
                </c:pt>
                <c:pt idx="159">
                  <c:v>2.28</c:v>
                </c:pt>
                <c:pt idx="160">
                  <c:v>2.28</c:v>
                </c:pt>
                <c:pt idx="161">
                  <c:v>2.24</c:v>
                </c:pt>
                <c:pt idx="162">
                  <c:v>2.32</c:v>
                </c:pt>
                <c:pt idx="163">
                  <c:v>2.27</c:v>
                </c:pt>
                <c:pt idx="164">
                  <c:v>2.04</c:v>
                </c:pt>
                <c:pt idx="165">
                  <c:v>2.1</c:v>
                </c:pt>
                <c:pt idx="166">
                  <c:v>2.08</c:v>
                </c:pt>
                <c:pt idx="167">
                  <c:v>2.13</c:v>
                </c:pt>
                <c:pt idx="168">
                  <c:v>2.15</c:v>
                </c:pt>
                <c:pt idx="169">
                  <c:v>2.03</c:v>
                </c:pt>
                <c:pt idx="170">
                  <c:v>2.08</c:v>
                </c:pt>
                <c:pt idx="171">
                  <c:v>2.15</c:v>
                </c:pt>
                <c:pt idx="172">
                  <c:v>2.15</c:v>
                </c:pt>
                <c:pt idx="173">
                  <c:v>2.23</c:v>
                </c:pt>
                <c:pt idx="174">
                  <c:v>2.33</c:v>
                </c:pt>
                <c:pt idx="175">
                  <c:v>2.31</c:v>
                </c:pt>
                <c:pt idx="176">
                  <c:v>2.29</c:v>
                </c:pt>
                <c:pt idx="177">
                  <c:v>2.33</c:v>
                </c:pt>
                <c:pt idx="178">
                  <c:v>2.35</c:v>
                </c:pt>
                <c:pt idx="179">
                  <c:v>2.33</c:v>
                </c:pt>
                <c:pt idx="180">
                  <c:v>2.34</c:v>
                </c:pt>
                <c:pt idx="181">
                  <c:v>2.26</c:v>
                </c:pt>
                <c:pt idx="182">
                  <c:v>2.24</c:v>
                </c:pt>
                <c:pt idx="183">
                  <c:v>2.33</c:v>
                </c:pt>
                <c:pt idx="184">
                  <c:v>2.29</c:v>
                </c:pt>
                <c:pt idx="185">
                  <c:v>2.34</c:v>
                </c:pt>
                <c:pt idx="186">
                  <c:v>2.34</c:v>
                </c:pt>
                <c:pt idx="187">
                  <c:v>2.43</c:v>
                </c:pt>
                <c:pt idx="188">
                  <c:v>2.41</c:v>
                </c:pt>
                <c:pt idx="189">
                  <c:v>2.43</c:v>
                </c:pt>
                <c:pt idx="190">
                  <c:v>2.42</c:v>
                </c:pt>
                <c:pt idx="191">
                  <c:v>2.42</c:v>
                </c:pt>
                <c:pt idx="192">
                  <c:v>2.43</c:v>
                </c:pt>
                <c:pt idx="193">
                  <c:v>2.42</c:v>
                </c:pt>
                <c:pt idx="194">
                  <c:v>2.38</c:v>
                </c:pt>
                <c:pt idx="195">
                  <c:v>2.33</c:v>
                </c:pt>
                <c:pt idx="196">
                  <c:v>2.3</c:v>
                </c:pt>
                <c:pt idx="197">
                  <c:v>2.33</c:v>
                </c:pt>
                <c:pt idx="198">
                  <c:v>2.37</c:v>
                </c:pt>
                <c:pt idx="199">
                  <c:v>2.18</c:v>
                </c:pt>
                <c:pt idx="200">
                  <c:v>2.2</c:v>
                </c:pt>
                <c:pt idx="201">
                  <c:v>2.23</c:v>
                </c:pt>
                <c:pt idx="202">
                  <c:v>2.27</c:v>
                </c:pt>
                <c:pt idx="203">
                  <c:v>2.27</c:v>
                </c:pt>
                <c:pt idx="204">
                  <c:v>2.29</c:v>
                </c:pt>
                <c:pt idx="205">
                  <c:v>2.34</c:v>
                </c:pt>
                <c:pt idx="206">
                  <c:v>2.33</c:v>
                </c:pt>
                <c:pt idx="207">
                  <c:v>2.34</c:v>
                </c:pt>
                <c:pt idx="208">
                  <c:v>2.31</c:v>
                </c:pt>
                <c:pt idx="209">
                  <c:v>2.28</c:v>
                </c:pt>
                <c:pt idx="210">
                  <c:v>2.33</c:v>
                </c:pt>
                <c:pt idx="211">
                  <c:v>2.29</c:v>
                </c:pt>
                <c:pt idx="212">
                  <c:v>2.33</c:v>
                </c:pt>
                <c:pt idx="213">
                  <c:v>2.37</c:v>
                </c:pt>
                <c:pt idx="214">
                  <c:v>2.41</c:v>
                </c:pt>
                <c:pt idx="215">
                  <c:v>2.44</c:v>
                </c:pt>
                <c:pt idx="216">
                  <c:v>2.33</c:v>
                </c:pt>
                <c:pt idx="217">
                  <c:v>2.39</c:v>
                </c:pt>
                <c:pt idx="218">
                  <c:v>2.38</c:v>
                </c:pt>
                <c:pt idx="219">
                  <c:v>2.41</c:v>
                </c:pt>
                <c:pt idx="220">
                  <c:v>2.41</c:v>
                </c:pt>
                <c:pt idx="221">
                  <c:v>2.37</c:v>
                </c:pt>
                <c:pt idx="222">
                  <c:v>2.36</c:v>
                </c:pt>
                <c:pt idx="223">
                  <c:v>2.39</c:v>
                </c:pt>
                <c:pt idx="224">
                  <c:v>2.38</c:v>
                </c:pt>
                <c:pt idx="225">
                  <c:v>2.33</c:v>
                </c:pt>
                <c:pt idx="226">
                  <c:v>2.3</c:v>
                </c:pt>
                <c:pt idx="227">
                  <c:v>2.27</c:v>
                </c:pt>
                <c:pt idx="228">
                  <c:v>2.29</c:v>
                </c:pt>
                <c:pt idx="229">
                  <c:v>2.3</c:v>
                </c:pt>
                <c:pt idx="230">
                  <c:v>2.28</c:v>
                </c:pt>
                <c:pt idx="231">
                  <c:v>2.28</c:v>
                </c:pt>
                <c:pt idx="232">
                  <c:v>2.24</c:v>
                </c:pt>
                <c:pt idx="233">
                  <c:v>2.23</c:v>
                </c:pt>
                <c:pt idx="234">
                  <c:v>2.26</c:v>
                </c:pt>
                <c:pt idx="235">
                  <c:v>2.26</c:v>
                </c:pt>
                <c:pt idx="236">
                  <c:v>2.24</c:v>
                </c:pt>
                <c:pt idx="237">
                  <c:v>2.23</c:v>
                </c:pt>
                <c:pt idx="238">
                  <c:v>2.25</c:v>
                </c:pt>
                <c:pt idx="239">
                  <c:v>2.28</c:v>
                </c:pt>
                <c:pt idx="240">
                  <c:v>2.33</c:v>
                </c:pt>
                <c:pt idx="241">
                  <c:v>2.32</c:v>
                </c:pt>
                <c:pt idx="242">
                  <c:v>2.36</c:v>
                </c:pt>
                <c:pt idx="243">
                  <c:v>2.34</c:v>
                </c:pt>
                <c:pt idx="244">
                  <c:v>2.27</c:v>
                </c:pt>
                <c:pt idx="245">
                  <c:v>2.28</c:v>
                </c:pt>
                <c:pt idx="246">
                  <c:v>2.25</c:v>
                </c:pt>
                <c:pt idx="247">
                  <c:v>2.35</c:v>
                </c:pt>
                <c:pt idx="248">
                  <c:v>2.36</c:v>
                </c:pt>
                <c:pt idx="249">
                  <c:v>2.38</c:v>
                </c:pt>
                <c:pt idx="250">
                  <c:v>2.31</c:v>
                </c:pt>
                <c:pt idx="251">
                  <c:v>2.36</c:v>
                </c:pt>
                <c:pt idx="252">
                  <c:v>2.36</c:v>
                </c:pt>
                <c:pt idx="253">
                  <c:v>2.36</c:v>
                </c:pt>
                <c:pt idx="254">
                  <c:v>2.42</c:v>
                </c:pt>
                <c:pt idx="255">
                  <c:v>2.48</c:v>
                </c:pt>
                <c:pt idx="256">
                  <c:v>2.45</c:v>
                </c:pt>
                <c:pt idx="257">
                  <c:v>2.49</c:v>
                </c:pt>
                <c:pt idx="258">
                  <c:v>2.4</c:v>
                </c:pt>
                <c:pt idx="259">
                  <c:v>2.38</c:v>
                </c:pt>
              </c:numCache>
            </c:numRef>
          </c:val>
          <c:smooth val="0"/>
        </c:ser>
        <c:ser>
          <c:idx val="1"/>
          <c:order val="1"/>
          <c:tx>
            <c:v>52W P80</c:v>
          </c:tx>
          <c:spPr>
            <a:ln xmlns:a="http://schemas.openxmlformats.org/drawingml/2006/main" w="19050">
              <a:solidFill>
                <a:schemeClr val="bg2">
                  <a:lumMod val="25000"/>
                </a:schemeClr>
              </a:solidFill>
              <a:prstDash val="dash"/>
            </a:ln>
          </c:spPr>
          <c:marker>
            <c:symbol val="none"/>
          </c:marker>
          <c:cat>
            <c:numRef>
              <c:f>_DASH_DATA!$X$2:$X$261</c:f>
              <c:numCache>
                <c:formatCode>m/yyyy</c:formatCode>
                <c:ptCount val="260"/>
                <c:pt idx="0">
                  <c:v>44358</c:v>
                </c:pt>
                <c:pt idx="1">
                  <c:v>44365</c:v>
                </c:pt>
                <c:pt idx="2">
                  <c:v>44372</c:v>
                </c:pt>
                <c:pt idx="3">
                  <c:v>44379</c:v>
                </c:pt>
                <c:pt idx="4">
                  <c:v>44386</c:v>
                </c:pt>
                <c:pt idx="5">
                  <c:v>44393</c:v>
                </c:pt>
                <c:pt idx="6">
                  <c:v>44400</c:v>
                </c:pt>
                <c:pt idx="7">
                  <c:v>44407</c:v>
                </c:pt>
                <c:pt idx="8">
                  <c:v>44414</c:v>
                </c:pt>
                <c:pt idx="9">
                  <c:v>44421</c:v>
                </c:pt>
                <c:pt idx="10">
                  <c:v>44428</c:v>
                </c:pt>
                <c:pt idx="11">
                  <c:v>44435</c:v>
                </c:pt>
                <c:pt idx="12">
                  <c:v>44442</c:v>
                </c:pt>
                <c:pt idx="13">
                  <c:v>44449</c:v>
                </c:pt>
                <c:pt idx="14">
                  <c:v>44456</c:v>
                </c:pt>
                <c:pt idx="15">
                  <c:v>44463</c:v>
                </c:pt>
                <c:pt idx="16">
                  <c:v>44470</c:v>
                </c:pt>
                <c:pt idx="17">
                  <c:v>44477</c:v>
                </c:pt>
                <c:pt idx="18">
                  <c:v>44484</c:v>
                </c:pt>
                <c:pt idx="19">
                  <c:v>44491</c:v>
                </c:pt>
                <c:pt idx="20">
                  <c:v>44498</c:v>
                </c:pt>
                <c:pt idx="21">
                  <c:v>44505</c:v>
                </c:pt>
                <c:pt idx="22">
                  <c:v>44512</c:v>
                </c:pt>
                <c:pt idx="23">
                  <c:v>44519</c:v>
                </c:pt>
                <c:pt idx="24">
                  <c:v>44526</c:v>
                </c:pt>
                <c:pt idx="25">
                  <c:v>44533</c:v>
                </c:pt>
                <c:pt idx="26">
                  <c:v>44540</c:v>
                </c:pt>
                <c:pt idx="27">
                  <c:v>44547</c:v>
                </c:pt>
                <c:pt idx="28">
                  <c:v>44554</c:v>
                </c:pt>
                <c:pt idx="29">
                  <c:v>44561</c:v>
                </c:pt>
                <c:pt idx="30">
                  <c:v>44568</c:v>
                </c:pt>
                <c:pt idx="31">
                  <c:v>44575</c:v>
                </c:pt>
                <c:pt idx="32">
                  <c:v>44582</c:v>
                </c:pt>
                <c:pt idx="33">
                  <c:v>44589</c:v>
                </c:pt>
                <c:pt idx="34">
                  <c:v>44596</c:v>
                </c:pt>
                <c:pt idx="35">
                  <c:v>44603</c:v>
                </c:pt>
                <c:pt idx="36">
                  <c:v>44610</c:v>
                </c:pt>
                <c:pt idx="37">
                  <c:v>44617</c:v>
                </c:pt>
                <c:pt idx="38">
                  <c:v>44624</c:v>
                </c:pt>
                <c:pt idx="39">
                  <c:v>44631</c:v>
                </c:pt>
                <c:pt idx="40">
                  <c:v>44638</c:v>
                </c:pt>
                <c:pt idx="41">
                  <c:v>44645</c:v>
                </c:pt>
                <c:pt idx="42">
                  <c:v>44652</c:v>
                </c:pt>
                <c:pt idx="43">
                  <c:v>44659</c:v>
                </c:pt>
                <c:pt idx="44">
                  <c:v>44666</c:v>
                </c:pt>
                <c:pt idx="45">
                  <c:v>44673</c:v>
                </c:pt>
                <c:pt idx="46">
                  <c:v>44680</c:v>
                </c:pt>
                <c:pt idx="47">
                  <c:v>44687</c:v>
                </c:pt>
                <c:pt idx="48">
                  <c:v>44694</c:v>
                </c:pt>
                <c:pt idx="49">
                  <c:v>44701</c:v>
                </c:pt>
                <c:pt idx="50">
                  <c:v>44708</c:v>
                </c:pt>
                <c:pt idx="51">
                  <c:v>44715</c:v>
                </c:pt>
                <c:pt idx="52">
                  <c:v>44722</c:v>
                </c:pt>
                <c:pt idx="53">
                  <c:v>44729</c:v>
                </c:pt>
                <c:pt idx="54">
                  <c:v>44736</c:v>
                </c:pt>
                <c:pt idx="55">
                  <c:v>44743</c:v>
                </c:pt>
                <c:pt idx="56">
                  <c:v>44750</c:v>
                </c:pt>
                <c:pt idx="57">
                  <c:v>44757</c:v>
                </c:pt>
                <c:pt idx="58">
                  <c:v>44764</c:v>
                </c:pt>
                <c:pt idx="59">
                  <c:v>44771</c:v>
                </c:pt>
                <c:pt idx="60">
                  <c:v>44778</c:v>
                </c:pt>
                <c:pt idx="61">
                  <c:v>44785</c:v>
                </c:pt>
                <c:pt idx="62">
                  <c:v>44792</c:v>
                </c:pt>
                <c:pt idx="63">
                  <c:v>44799</c:v>
                </c:pt>
                <c:pt idx="64">
                  <c:v>44806</c:v>
                </c:pt>
                <c:pt idx="65">
                  <c:v>44813</c:v>
                </c:pt>
                <c:pt idx="66">
                  <c:v>44820</c:v>
                </c:pt>
                <c:pt idx="67">
                  <c:v>44827</c:v>
                </c:pt>
                <c:pt idx="68">
                  <c:v>44834</c:v>
                </c:pt>
                <c:pt idx="69">
                  <c:v>44841</c:v>
                </c:pt>
                <c:pt idx="70">
                  <c:v>44848</c:v>
                </c:pt>
                <c:pt idx="71">
                  <c:v>44855</c:v>
                </c:pt>
                <c:pt idx="72">
                  <c:v>44862</c:v>
                </c:pt>
                <c:pt idx="73">
                  <c:v>44869</c:v>
                </c:pt>
                <c:pt idx="74">
                  <c:v>44876</c:v>
                </c:pt>
                <c:pt idx="75">
                  <c:v>44883</c:v>
                </c:pt>
                <c:pt idx="76">
                  <c:v>44890</c:v>
                </c:pt>
                <c:pt idx="77">
                  <c:v>44897</c:v>
                </c:pt>
                <c:pt idx="78">
                  <c:v>44904</c:v>
                </c:pt>
                <c:pt idx="79">
                  <c:v>44911</c:v>
                </c:pt>
                <c:pt idx="80">
                  <c:v>44918</c:v>
                </c:pt>
                <c:pt idx="81">
                  <c:v>44925</c:v>
                </c:pt>
                <c:pt idx="82">
                  <c:v>44932</c:v>
                </c:pt>
                <c:pt idx="83">
                  <c:v>44939</c:v>
                </c:pt>
                <c:pt idx="84">
                  <c:v>44946</c:v>
                </c:pt>
                <c:pt idx="85">
                  <c:v>44953</c:v>
                </c:pt>
                <c:pt idx="86">
                  <c:v>44960</c:v>
                </c:pt>
                <c:pt idx="87">
                  <c:v>44967</c:v>
                </c:pt>
                <c:pt idx="88">
                  <c:v>44974</c:v>
                </c:pt>
                <c:pt idx="89">
                  <c:v>44981</c:v>
                </c:pt>
                <c:pt idx="90">
                  <c:v>44988</c:v>
                </c:pt>
                <c:pt idx="91">
                  <c:v>44995</c:v>
                </c:pt>
                <c:pt idx="92">
                  <c:v>45002</c:v>
                </c:pt>
                <c:pt idx="93">
                  <c:v>45009</c:v>
                </c:pt>
                <c:pt idx="94">
                  <c:v>45016</c:v>
                </c:pt>
                <c:pt idx="95">
                  <c:v>45023</c:v>
                </c:pt>
                <c:pt idx="96">
                  <c:v>45030</c:v>
                </c:pt>
                <c:pt idx="97">
                  <c:v>45037</c:v>
                </c:pt>
                <c:pt idx="98">
                  <c:v>45044</c:v>
                </c:pt>
                <c:pt idx="99">
                  <c:v>45051</c:v>
                </c:pt>
                <c:pt idx="100">
                  <c:v>45058</c:v>
                </c:pt>
                <c:pt idx="101">
                  <c:v>45065</c:v>
                </c:pt>
                <c:pt idx="102">
                  <c:v>45072</c:v>
                </c:pt>
                <c:pt idx="103">
                  <c:v>45079</c:v>
                </c:pt>
                <c:pt idx="104">
                  <c:v>45086</c:v>
                </c:pt>
                <c:pt idx="105">
                  <c:v>45093</c:v>
                </c:pt>
                <c:pt idx="106">
                  <c:v>45100</c:v>
                </c:pt>
                <c:pt idx="107">
                  <c:v>45107</c:v>
                </c:pt>
                <c:pt idx="108">
                  <c:v>45114</c:v>
                </c:pt>
                <c:pt idx="109">
                  <c:v>45121</c:v>
                </c:pt>
                <c:pt idx="110">
                  <c:v>45128</c:v>
                </c:pt>
                <c:pt idx="111">
                  <c:v>45135</c:v>
                </c:pt>
                <c:pt idx="112">
                  <c:v>45142</c:v>
                </c:pt>
                <c:pt idx="113">
                  <c:v>45149</c:v>
                </c:pt>
                <c:pt idx="114">
                  <c:v>45156</c:v>
                </c:pt>
                <c:pt idx="115">
                  <c:v>45163</c:v>
                </c:pt>
                <c:pt idx="116">
                  <c:v>45170</c:v>
                </c:pt>
                <c:pt idx="117">
                  <c:v>45177</c:v>
                </c:pt>
                <c:pt idx="118">
                  <c:v>45184</c:v>
                </c:pt>
                <c:pt idx="119">
                  <c:v>45191</c:v>
                </c:pt>
                <c:pt idx="120">
                  <c:v>45198</c:v>
                </c:pt>
                <c:pt idx="121">
                  <c:v>45205</c:v>
                </c:pt>
                <c:pt idx="122">
                  <c:v>45212</c:v>
                </c:pt>
                <c:pt idx="123">
                  <c:v>45219</c:v>
                </c:pt>
                <c:pt idx="124">
                  <c:v>45226</c:v>
                </c:pt>
                <c:pt idx="125">
                  <c:v>45233</c:v>
                </c:pt>
                <c:pt idx="126">
                  <c:v>45240</c:v>
                </c:pt>
                <c:pt idx="127">
                  <c:v>45247</c:v>
                </c:pt>
                <c:pt idx="128">
                  <c:v>45254</c:v>
                </c:pt>
                <c:pt idx="129">
                  <c:v>45261</c:v>
                </c:pt>
                <c:pt idx="130">
                  <c:v>45268</c:v>
                </c:pt>
                <c:pt idx="131">
                  <c:v>45275</c:v>
                </c:pt>
                <c:pt idx="132">
                  <c:v>45282</c:v>
                </c:pt>
                <c:pt idx="133">
                  <c:v>45289</c:v>
                </c:pt>
                <c:pt idx="134">
                  <c:v>45296</c:v>
                </c:pt>
                <c:pt idx="135">
                  <c:v>45303</c:v>
                </c:pt>
                <c:pt idx="136">
                  <c:v>45310</c:v>
                </c:pt>
                <c:pt idx="137">
                  <c:v>45317</c:v>
                </c:pt>
                <c:pt idx="138">
                  <c:v>45324</c:v>
                </c:pt>
                <c:pt idx="139">
                  <c:v>45331</c:v>
                </c:pt>
                <c:pt idx="140">
                  <c:v>45338</c:v>
                </c:pt>
                <c:pt idx="141">
                  <c:v>45345</c:v>
                </c:pt>
                <c:pt idx="142">
                  <c:v>45352</c:v>
                </c:pt>
                <c:pt idx="143">
                  <c:v>45359</c:v>
                </c:pt>
                <c:pt idx="144">
                  <c:v>45366</c:v>
                </c:pt>
                <c:pt idx="145">
                  <c:v>45373</c:v>
                </c:pt>
                <c:pt idx="146">
                  <c:v>45380</c:v>
                </c:pt>
                <c:pt idx="147">
                  <c:v>45387</c:v>
                </c:pt>
                <c:pt idx="148">
                  <c:v>45394</c:v>
                </c:pt>
                <c:pt idx="149">
                  <c:v>45401</c:v>
                </c:pt>
                <c:pt idx="150">
                  <c:v>45408</c:v>
                </c:pt>
                <c:pt idx="151">
                  <c:v>45415</c:v>
                </c:pt>
                <c:pt idx="152">
                  <c:v>45422</c:v>
                </c:pt>
                <c:pt idx="153">
                  <c:v>45429</c:v>
                </c:pt>
                <c:pt idx="154">
                  <c:v>45436</c:v>
                </c:pt>
                <c:pt idx="155">
                  <c:v>45443</c:v>
                </c:pt>
                <c:pt idx="156">
                  <c:v>45450</c:v>
                </c:pt>
                <c:pt idx="157">
                  <c:v>45457</c:v>
                </c:pt>
                <c:pt idx="158">
                  <c:v>45464</c:v>
                </c:pt>
                <c:pt idx="159">
                  <c:v>45471</c:v>
                </c:pt>
                <c:pt idx="160">
                  <c:v>45478</c:v>
                </c:pt>
                <c:pt idx="161">
                  <c:v>45485</c:v>
                </c:pt>
                <c:pt idx="162">
                  <c:v>45492</c:v>
                </c:pt>
                <c:pt idx="163">
                  <c:v>45499</c:v>
                </c:pt>
                <c:pt idx="164">
                  <c:v>45506</c:v>
                </c:pt>
                <c:pt idx="165">
                  <c:v>45513</c:v>
                </c:pt>
                <c:pt idx="166">
                  <c:v>45520</c:v>
                </c:pt>
                <c:pt idx="167">
                  <c:v>45527</c:v>
                </c:pt>
                <c:pt idx="168">
                  <c:v>45534</c:v>
                </c:pt>
                <c:pt idx="169">
                  <c:v>45541</c:v>
                </c:pt>
                <c:pt idx="170">
                  <c:v>45548</c:v>
                </c:pt>
                <c:pt idx="171">
                  <c:v>45555</c:v>
                </c:pt>
                <c:pt idx="172">
                  <c:v>45562</c:v>
                </c:pt>
                <c:pt idx="173">
                  <c:v>45569</c:v>
                </c:pt>
                <c:pt idx="174">
                  <c:v>45576</c:v>
                </c:pt>
                <c:pt idx="175">
                  <c:v>45583</c:v>
                </c:pt>
                <c:pt idx="176">
                  <c:v>45590</c:v>
                </c:pt>
                <c:pt idx="177">
                  <c:v>45597</c:v>
                </c:pt>
                <c:pt idx="178">
                  <c:v>45604</c:v>
                </c:pt>
                <c:pt idx="179">
                  <c:v>45611</c:v>
                </c:pt>
                <c:pt idx="180">
                  <c:v>45618</c:v>
                </c:pt>
                <c:pt idx="181">
                  <c:v>45625</c:v>
                </c:pt>
                <c:pt idx="182">
                  <c:v>45632</c:v>
                </c:pt>
                <c:pt idx="183">
                  <c:v>45639</c:v>
                </c:pt>
                <c:pt idx="184">
                  <c:v>45646</c:v>
                </c:pt>
                <c:pt idx="185">
                  <c:v>45653</c:v>
                </c:pt>
                <c:pt idx="186">
                  <c:v>45660</c:v>
                </c:pt>
                <c:pt idx="187">
                  <c:v>45667</c:v>
                </c:pt>
                <c:pt idx="188">
                  <c:v>45674</c:v>
                </c:pt>
                <c:pt idx="189">
                  <c:v>45681</c:v>
                </c:pt>
                <c:pt idx="190">
                  <c:v>45688</c:v>
                </c:pt>
                <c:pt idx="191">
                  <c:v>45695</c:v>
                </c:pt>
                <c:pt idx="192">
                  <c:v>45702</c:v>
                </c:pt>
                <c:pt idx="193">
                  <c:v>45709</c:v>
                </c:pt>
                <c:pt idx="194">
                  <c:v>45716</c:v>
                </c:pt>
                <c:pt idx="195">
                  <c:v>45723</c:v>
                </c:pt>
                <c:pt idx="196">
                  <c:v>45730</c:v>
                </c:pt>
                <c:pt idx="197">
                  <c:v>45737</c:v>
                </c:pt>
                <c:pt idx="198">
                  <c:v>45744</c:v>
                </c:pt>
                <c:pt idx="199">
                  <c:v>45751</c:v>
                </c:pt>
                <c:pt idx="200">
                  <c:v>45758</c:v>
                </c:pt>
                <c:pt idx="201">
                  <c:v>45765</c:v>
                </c:pt>
                <c:pt idx="202">
                  <c:v>45772</c:v>
                </c:pt>
                <c:pt idx="203">
                  <c:v>45779</c:v>
                </c:pt>
                <c:pt idx="204">
                  <c:v>45786</c:v>
                </c:pt>
                <c:pt idx="205">
                  <c:v>45793</c:v>
                </c:pt>
                <c:pt idx="206">
                  <c:v>45800</c:v>
                </c:pt>
                <c:pt idx="207">
                  <c:v>45807</c:v>
                </c:pt>
                <c:pt idx="208">
                  <c:v>45814</c:v>
                </c:pt>
                <c:pt idx="209">
                  <c:v>45821</c:v>
                </c:pt>
                <c:pt idx="210">
                  <c:v>45828</c:v>
                </c:pt>
                <c:pt idx="211">
                  <c:v>45835</c:v>
                </c:pt>
                <c:pt idx="212">
                  <c:v>45842</c:v>
                </c:pt>
                <c:pt idx="213">
                  <c:v>45849</c:v>
                </c:pt>
                <c:pt idx="214">
                  <c:v>45856</c:v>
                </c:pt>
                <c:pt idx="215">
                  <c:v>45863</c:v>
                </c:pt>
                <c:pt idx="216">
                  <c:v>45870</c:v>
                </c:pt>
                <c:pt idx="217">
                  <c:v>45877</c:v>
                </c:pt>
                <c:pt idx="218">
                  <c:v>45884</c:v>
                </c:pt>
                <c:pt idx="219">
                  <c:v>45891</c:v>
                </c:pt>
                <c:pt idx="220">
                  <c:v>45898</c:v>
                </c:pt>
                <c:pt idx="221">
                  <c:v>45905</c:v>
                </c:pt>
                <c:pt idx="222">
                  <c:v>45912</c:v>
                </c:pt>
                <c:pt idx="223">
                  <c:v>45919</c:v>
                </c:pt>
                <c:pt idx="224">
                  <c:v>45926</c:v>
                </c:pt>
                <c:pt idx="225">
                  <c:v>45933</c:v>
                </c:pt>
                <c:pt idx="226">
                  <c:v>45940</c:v>
                </c:pt>
                <c:pt idx="227">
                  <c:v>45947</c:v>
                </c:pt>
                <c:pt idx="228">
                  <c:v>45954</c:v>
                </c:pt>
                <c:pt idx="229">
                  <c:v>45961</c:v>
                </c:pt>
                <c:pt idx="230">
                  <c:v>45968</c:v>
                </c:pt>
                <c:pt idx="231">
                  <c:v>45975</c:v>
                </c:pt>
                <c:pt idx="232">
                  <c:v>45982</c:v>
                </c:pt>
                <c:pt idx="233">
                  <c:v>45989</c:v>
                </c:pt>
                <c:pt idx="234">
                  <c:v>45996</c:v>
                </c:pt>
                <c:pt idx="235">
                  <c:v>46003</c:v>
                </c:pt>
                <c:pt idx="236">
                  <c:v>46010</c:v>
                </c:pt>
                <c:pt idx="237">
                  <c:v>46017</c:v>
                </c:pt>
                <c:pt idx="238">
                  <c:v>46024</c:v>
                </c:pt>
                <c:pt idx="239">
                  <c:v>46031</c:v>
                </c:pt>
                <c:pt idx="240">
                  <c:v>46038</c:v>
                </c:pt>
                <c:pt idx="241">
                  <c:v>46045</c:v>
                </c:pt>
                <c:pt idx="242">
                  <c:v>46052</c:v>
                </c:pt>
                <c:pt idx="243">
                  <c:v>46059</c:v>
                </c:pt>
                <c:pt idx="244">
                  <c:v>46066</c:v>
                </c:pt>
                <c:pt idx="245">
                  <c:v>46073</c:v>
                </c:pt>
                <c:pt idx="246">
                  <c:v>46080</c:v>
                </c:pt>
                <c:pt idx="247">
                  <c:v>46087</c:v>
                </c:pt>
                <c:pt idx="248">
                  <c:v>46094</c:v>
                </c:pt>
                <c:pt idx="249">
                  <c:v>46101</c:v>
                </c:pt>
                <c:pt idx="250">
                  <c:v>46108</c:v>
                </c:pt>
                <c:pt idx="251">
                  <c:v>46115</c:v>
                </c:pt>
                <c:pt idx="252">
                  <c:v>46122</c:v>
                </c:pt>
                <c:pt idx="253">
                  <c:v>46129</c:v>
                </c:pt>
                <c:pt idx="254">
                  <c:v>46136</c:v>
                </c:pt>
                <c:pt idx="255">
                  <c:v>46143</c:v>
                </c:pt>
                <c:pt idx="256">
                  <c:v>46150</c:v>
                </c:pt>
                <c:pt idx="257">
                  <c:v>46157</c:v>
                </c:pt>
                <c:pt idx="258">
                  <c:v>46164</c:v>
                </c:pt>
                <c:pt idx="259">
                  <c:v>46171</c:v>
                </c:pt>
              </c:numCache>
            </c:numRef>
          </c:cat>
          <c:val>
            <c:numRef>
              <c:f>_DASH_DATA!$Z$2:$Z$261</c:f>
              <c:numCache>
                <c:formatCode>General</c:formatCode>
                <c:ptCount val="260"/>
                <c:pt idx="0">
                  <c:v>2.318</c:v>
                </c:pt>
                <c:pt idx="1">
                  <c:v>2.318</c:v>
                </c:pt>
                <c:pt idx="2">
                  <c:v>2.336</c:v>
                </c:pt>
                <c:pt idx="3">
                  <c:v>2.338</c:v>
                </c:pt>
                <c:pt idx="4">
                  <c:v>2.338</c:v>
                </c:pt>
                <c:pt idx="5">
                  <c:v>2.338</c:v>
                </c:pt>
                <c:pt idx="6">
                  <c:v>2.34</c:v>
                </c:pt>
                <c:pt idx="7">
                  <c:v>2.34</c:v>
                </c:pt>
                <c:pt idx="8">
                  <c:v>2.348</c:v>
                </c:pt>
                <c:pt idx="9">
                  <c:v>2.358</c:v>
                </c:pt>
                <c:pt idx="10">
                  <c:v>2.358</c:v>
                </c:pt>
                <c:pt idx="11">
                  <c:v>2.36</c:v>
                </c:pt>
                <c:pt idx="12">
                  <c:v>2.36</c:v>
                </c:pt>
                <c:pt idx="13">
                  <c:v>2.368</c:v>
                </c:pt>
                <c:pt idx="14">
                  <c:v>2.368</c:v>
                </c:pt>
                <c:pt idx="15">
                  <c:v>2.368</c:v>
                </c:pt>
                <c:pt idx="16">
                  <c:v>2.37</c:v>
                </c:pt>
                <c:pt idx="17">
                  <c:v>2.378</c:v>
                </c:pt>
                <c:pt idx="18">
                  <c:v>2.388</c:v>
                </c:pt>
                <c:pt idx="19">
                  <c:v>2.398</c:v>
                </c:pt>
                <c:pt idx="20">
                  <c:v>2.4</c:v>
                </c:pt>
                <c:pt idx="21">
                  <c:v>2.4</c:v>
                </c:pt>
                <c:pt idx="22">
                  <c:v>2.408</c:v>
                </c:pt>
                <c:pt idx="23">
                  <c:v>2.418</c:v>
                </c:pt>
                <c:pt idx="24">
                  <c:v>2.428</c:v>
                </c:pt>
                <c:pt idx="25">
                  <c:v>2.43</c:v>
                </c:pt>
                <c:pt idx="26">
                  <c:v>2.438</c:v>
                </c:pt>
                <c:pt idx="27">
                  <c:v>2.438</c:v>
                </c:pt>
                <c:pt idx="28">
                  <c:v>2.464</c:v>
                </c:pt>
                <c:pt idx="29">
                  <c:v>2.486</c:v>
                </c:pt>
                <c:pt idx="30">
                  <c:v>2.488</c:v>
                </c:pt>
                <c:pt idx="31">
                  <c:v>2.488</c:v>
                </c:pt>
                <c:pt idx="32">
                  <c:v>2.488</c:v>
                </c:pt>
                <c:pt idx="33">
                  <c:v>2.488</c:v>
                </c:pt>
                <c:pt idx="34">
                  <c:v>2.488</c:v>
                </c:pt>
                <c:pt idx="35">
                  <c:v>2.488</c:v>
                </c:pt>
                <c:pt idx="36">
                  <c:v>2.488</c:v>
                </c:pt>
                <c:pt idx="37">
                  <c:v>2.498</c:v>
                </c:pt>
                <c:pt idx="38">
                  <c:v>2.508</c:v>
                </c:pt>
                <c:pt idx="39">
                  <c:v>2.51</c:v>
                </c:pt>
                <c:pt idx="40">
                  <c:v>2.534</c:v>
                </c:pt>
                <c:pt idx="41">
                  <c:v>2.54</c:v>
                </c:pt>
                <c:pt idx="42">
                  <c:v>2.548</c:v>
                </c:pt>
                <c:pt idx="43">
                  <c:v>2.558</c:v>
                </c:pt>
                <c:pt idx="44">
                  <c:v>2.56</c:v>
                </c:pt>
                <c:pt idx="45">
                  <c:v>2.624000000000001</c:v>
                </c:pt>
                <c:pt idx="46">
                  <c:v>2.648</c:v>
                </c:pt>
                <c:pt idx="47">
                  <c:v>2.666</c:v>
                </c:pt>
                <c:pt idx="48">
                  <c:v>2.686</c:v>
                </c:pt>
                <c:pt idx="49">
                  <c:v>2.686</c:v>
                </c:pt>
                <c:pt idx="50">
                  <c:v>2.686</c:v>
                </c:pt>
                <c:pt idx="51">
                  <c:v>2.722</c:v>
                </c:pt>
                <c:pt idx="52">
                  <c:v>2.738</c:v>
                </c:pt>
                <c:pt idx="53">
                  <c:v>2.738</c:v>
                </c:pt>
                <c:pt idx="54">
                  <c:v>2.738</c:v>
                </c:pt>
                <c:pt idx="55">
                  <c:v>2.738</c:v>
                </c:pt>
                <c:pt idx="56">
                  <c:v>2.738</c:v>
                </c:pt>
                <c:pt idx="57">
                  <c:v>2.738</c:v>
                </c:pt>
                <c:pt idx="58">
                  <c:v>2.738</c:v>
                </c:pt>
                <c:pt idx="59">
                  <c:v>2.738</c:v>
                </c:pt>
                <c:pt idx="60">
                  <c:v>2.738</c:v>
                </c:pt>
                <c:pt idx="61">
                  <c:v>2.738</c:v>
                </c:pt>
                <c:pt idx="62">
                  <c:v>2.738</c:v>
                </c:pt>
                <c:pt idx="63">
                  <c:v>2.738</c:v>
                </c:pt>
                <c:pt idx="64">
                  <c:v>2.738</c:v>
                </c:pt>
                <c:pt idx="65">
                  <c:v>2.738</c:v>
                </c:pt>
                <c:pt idx="66">
                  <c:v>2.738</c:v>
                </c:pt>
                <c:pt idx="67">
                  <c:v>2.738</c:v>
                </c:pt>
                <c:pt idx="68">
                  <c:v>2.738</c:v>
                </c:pt>
                <c:pt idx="69">
                  <c:v>2.738</c:v>
                </c:pt>
                <c:pt idx="70">
                  <c:v>2.738</c:v>
                </c:pt>
                <c:pt idx="71">
                  <c:v>2.738</c:v>
                </c:pt>
                <c:pt idx="72">
                  <c:v>2.738</c:v>
                </c:pt>
                <c:pt idx="73">
                  <c:v>2.738</c:v>
                </c:pt>
                <c:pt idx="74">
                  <c:v>2.73</c:v>
                </c:pt>
                <c:pt idx="75">
                  <c:v>2.73</c:v>
                </c:pt>
                <c:pt idx="76">
                  <c:v>2.73</c:v>
                </c:pt>
                <c:pt idx="77">
                  <c:v>2.73</c:v>
                </c:pt>
                <c:pt idx="78">
                  <c:v>2.73</c:v>
                </c:pt>
                <c:pt idx="79">
                  <c:v>2.73</c:v>
                </c:pt>
                <c:pt idx="80">
                  <c:v>2.73</c:v>
                </c:pt>
                <c:pt idx="81">
                  <c:v>2.73</c:v>
                </c:pt>
                <c:pt idx="82">
                  <c:v>2.73</c:v>
                </c:pt>
                <c:pt idx="83">
                  <c:v>2.73</c:v>
                </c:pt>
                <c:pt idx="84">
                  <c:v>2.73</c:v>
                </c:pt>
                <c:pt idx="85">
                  <c:v>2.73</c:v>
                </c:pt>
                <c:pt idx="86">
                  <c:v>2.73</c:v>
                </c:pt>
                <c:pt idx="87">
                  <c:v>2.73</c:v>
                </c:pt>
                <c:pt idx="88">
                  <c:v>2.73</c:v>
                </c:pt>
                <c:pt idx="89">
                  <c:v>2.73</c:v>
                </c:pt>
                <c:pt idx="90">
                  <c:v>2.73</c:v>
                </c:pt>
                <c:pt idx="91">
                  <c:v>2.678</c:v>
                </c:pt>
                <c:pt idx="92">
                  <c:v>2.62</c:v>
                </c:pt>
                <c:pt idx="93">
                  <c:v>2.578</c:v>
                </c:pt>
                <c:pt idx="94">
                  <c:v>2.568</c:v>
                </c:pt>
                <c:pt idx="95">
                  <c:v>2.558</c:v>
                </c:pt>
                <c:pt idx="96">
                  <c:v>2.55</c:v>
                </c:pt>
                <c:pt idx="97">
                  <c:v>2.546</c:v>
                </c:pt>
                <c:pt idx="98">
                  <c:v>2.528</c:v>
                </c:pt>
                <c:pt idx="99">
                  <c:v>2.52</c:v>
                </c:pt>
                <c:pt idx="100">
                  <c:v>2.518</c:v>
                </c:pt>
                <c:pt idx="101">
                  <c:v>2.504</c:v>
                </c:pt>
                <c:pt idx="102">
                  <c:v>2.478</c:v>
                </c:pt>
                <c:pt idx="103">
                  <c:v>2.47</c:v>
                </c:pt>
                <c:pt idx="104">
                  <c:v>2.468</c:v>
                </c:pt>
                <c:pt idx="105">
                  <c:v>2.454</c:v>
                </c:pt>
                <c:pt idx="106">
                  <c:v>2.428</c:v>
                </c:pt>
                <c:pt idx="107">
                  <c:v>2.428</c:v>
                </c:pt>
                <c:pt idx="108">
                  <c:v>2.428</c:v>
                </c:pt>
                <c:pt idx="109">
                  <c:v>2.428</c:v>
                </c:pt>
                <c:pt idx="110">
                  <c:v>2.428</c:v>
                </c:pt>
                <c:pt idx="111">
                  <c:v>2.418</c:v>
                </c:pt>
                <c:pt idx="112">
                  <c:v>2.406</c:v>
                </c:pt>
                <c:pt idx="113">
                  <c:v>2.388</c:v>
                </c:pt>
                <c:pt idx="114">
                  <c:v>2.38</c:v>
                </c:pt>
                <c:pt idx="115">
                  <c:v>2.38</c:v>
                </c:pt>
                <c:pt idx="116">
                  <c:v>2.38</c:v>
                </c:pt>
                <c:pt idx="117">
                  <c:v>2.378</c:v>
                </c:pt>
                <c:pt idx="118">
                  <c:v>2.368</c:v>
                </c:pt>
                <c:pt idx="119">
                  <c:v>2.368</c:v>
                </c:pt>
                <c:pt idx="120">
                  <c:v>2.368</c:v>
                </c:pt>
                <c:pt idx="121">
                  <c:v>2.368</c:v>
                </c:pt>
                <c:pt idx="122">
                  <c:v>2.36</c:v>
                </c:pt>
                <c:pt idx="123">
                  <c:v>2.36</c:v>
                </c:pt>
                <c:pt idx="124">
                  <c:v>2.36</c:v>
                </c:pt>
                <c:pt idx="125">
                  <c:v>2.36</c:v>
                </c:pt>
                <c:pt idx="126">
                  <c:v>2.358</c:v>
                </c:pt>
                <c:pt idx="127">
                  <c:v>2.358</c:v>
                </c:pt>
                <c:pt idx="128">
                  <c:v>2.358</c:v>
                </c:pt>
                <c:pt idx="129">
                  <c:v>2.35</c:v>
                </c:pt>
                <c:pt idx="130">
                  <c:v>2.35</c:v>
                </c:pt>
                <c:pt idx="131">
                  <c:v>2.35</c:v>
                </c:pt>
                <c:pt idx="132">
                  <c:v>2.35</c:v>
                </c:pt>
                <c:pt idx="133">
                  <c:v>2.35</c:v>
                </c:pt>
                <c:pt idx="134">
                  <c:v>2.35</c:v>
                </c:pt>
                <c:pt idx="135">
                  <c:v>2.35</c:v>
                </c:pt>
                <c:pt idx="136">
                  <c:v>2.35</c:v>
                </c:pt>
                <c:pt idx="137">
                  <c:v>2.35</c:v>
                </c:pt>
                <c:pt idx="138">
                  <c:v>2.35</c:v>
                </c:pt>
                <c:pt idx="139">
                  <c:v>2.35</c:v>
                </c:pt>
                <c:pt idx="140">
                  <c:v>2.35</c:v>
                </c:pt>
                <c:pt idx="141">
                  <c:v>2.348</c:v>
                </c:pt>
                <c:pt idx="142">
                  <c:v>2.34</c:v>
                </c:pt>
                <c:pt idx="143">
                  <c:v>2.34</c:v>
                </c:pt>
                <c:pt idx="144">
                  <c:v>2.34</c:v>
                </c:pt>
                <c:pt idx="145">
                  <c:v>2.348</c:v>
                </c:pt>
                <c:pt idx="146">
                  <c:v>2.348</c:v>
                </c:pt>
                <c:pt idx="147">
                  <c:v>2.35</c:v>
                </c:pt>
                <c:pt idx="148">
                  <c:v>2.35</c:v>
                </c:pt>
                <c:pt idx="149">
                  <c:v>2.35</c:v>
                </c:pt>
                <c:pt idx="150">
                  <c:v>2.358</c:v>
                </c:pt>
                <c:pt idx="151">
                  <c:v>2.358</c:v>
                </c:pt>
                <c:pt idx="152">
                  <c:v>2.358</c:v>
                </c:pt>
                <c:pt idx="153">
                  <c:v>2.358</c:v>
                </c:pt>
                <c:pt idx="154">
                  <c:v>2.358</c:v>
                </c:pt>
                <c:pt idx="155">
                  <c:v>2.358</c:v>
                </c:pt>
                <c:pt idx="156">
                  <c:v>2.358</c:v>
                </c:pt>
                <c:pt idx="157">
                  <c:v>2.358</c:v>
                </c:pt>
                <c:pt idx="158">
                  <c:v>2.358</c:v>
                </c:pt>
                <c:pt idx="159">
                  <c:v>2.358</c:v>
                </c:pt>
                <c:pt idx="160">
                  <c:v>2.358</c:v>
                </c:pt>
                <c:pt idx="161">
                  <c:v>2.358</c:v>
                </c:pt>
                <c:pt idx="162">
                  <c:v>2.358</c:v>
                </c:pt>
                <c:pt idx="163">
                  <c:v>2.35</c:v>
                </c:pt>
                <c:pt idx="164">
                  <c:v>2.35</c:v>
                </c:pt>
                <c:pt idx="165">
                  <c:v>2.35</c:v>
                </c:pt>
                <c:pt idx="166">
                  <c:v>2.35</c:v>
                </c:pt>
                <c:pt idx="167">
                  <c:v>2.35</c:v>
                </c:pt>
                <c:pt idx="168">
                  <c:v>2.35</c:v>
                </c:pt>
                <c:pt idx="169">
                  <c:v>2.35</c:v>
                </c:pt>
                <c:pt idx="170">
                  <c:v>2.35</c:v>
                </c:pt>
                <c:pt idx="171">
                  <c:v>2.348</c:v>
                </c:pt>
                <c:pt idx="172">
                  <c:v>2.34</c:v>
                </c:pt>
                <c:pt idx="173">
                  <c:v>2.34</c:v>
                </c:pt>
                <c:pt idx="174">
                  <c:v>2.34</c:v>
                </c:pt>
                <c:pt idx="175">
                  <c:v>2.338</c:v>
                </c:pt>
                <c:pt idx="176">
                  <c:v>2.33</c:v>
                </c:pt>
                <c:pt idx="177">
                  <c:v>2.33</c:v>
                </c:pt>
                <c:pt idx="178">
                  <c:v>2.33</c:v>
                </c:pt>
                <c:pt idx="179">
                  <c:v>2.33</c:v>
                </c:pt>
                <c:pt idx="180">
                  <c:v>2.338</c:v>
                </c:pt>
                <c:pt idx="181">
                  <c:v>2.338</c:v>
                </c:pt>
                <c:pt idx="182">
                  <c:v>2.338</c:v>
                </c:pt>
                <c:pt idx="183">
                  <c:v>2.338</c:v>
                </c:pt>
                <c:pt idx="184">
                  <c:v>2.338</c:v>
                </c:pt>
                <c:pt idx="185">
                  <c:v>2.34</c:v>
                </c:pt>
                <c:pt idx="186">
                  <c:v>2.34</c:v>
                </c:pt>
                <c:pt idx="187">
                  <c:v>2.34</c:v>
                </c:pt>
                <c:pt idx="188">
                  <c:v>2.34</c:v>
                </c:pt>
                <c:pt idx="189">
                  <c:v>2.348</c:v>
                </c:pt>
                <c:pt idx="190">
                  <c:v>2.35</c:v>
                </c:pt>
                <c:pt idx="191">
                  <c:v>2.35</c:v>
                </c:pt>
                <c:pt idx="192">
                  <c:v>2.35</c:v>
                </c:pt>
                <c:pt idx="193">
                  <c:v>2.366</c:v>
                </c:pt>
                <c:pt idx="194">
                  <c:v>2.378</c:v>
                </c:pt>
                <c:pt idx="195">
                  <c:v>2.378</c:v>
                </c:pt>
                <c:pt idx="196">
                  <c:v>2.378</c:v>
                </c:pt>
                <c:pt idx="197">
                  <c:v>2.378</c:v>
                </c:pt>
                <c:pt idx="198">
                  <c:v>2.378</c:v>
                </c:pt>
                <c:pt idx="199">
                  <c:v>2.378</c:v>
                </c:pt>
                <c:pt idx="200">
                  <c:v>2.366</c:v>
                </c:pt>
                <c:pt idx="201">
                  <c:v>2.35</c:v>
                </c:pt>
                <c:pt idx="202">
                  <c:v>2.35</c:v>
                </c:pt>
                <c:pt idx="203">
                  <c:v>2.348</c:v>
                </c:pt>
                <c:pt idx="204">
                  <c:v>2.348</c:v>
                </c:pt>
                <c:pt idx="205">
                  <c:v>2.348</c:v>
                </c:pt>
                <c:pt idx="206">
                  <c:v>2.348</c:v>
                </c:pt>
                <c:pt idx="207">
                  <c:v>2.34</c:v>
                </c:pt>
                <c:pt idx="208">
                  <c:v>2.34</c:v>
                </c:pt>
                <c:pt idx="209">
                  <c:v>2.34</c:v>
                </c:pt>
                <c:pt idx="210">
                  <c:v>2.34</c:v>
                </c:pt>
                <c:pt idx="211">
                  <c:v>2.34</c:v>
                </c:pt>
                <c:pt idx="212">
                  <c:v>2.34</c:v>
                </c:pt>
                <c:pt idx="213">
                  <c:v>2.348</c:v>
                </c:pt>
                <c:pt idx="214">
                  <c:v>2.366</c:v>
                </c:pt>
                <c:pt idx="215">
                  <c:v>2.37</c:v>
                </c:pt>
                <c:pt idx="216">
                  <c:v>2.37</c:v>
                </c:pt>
                <c:pt idx="217">
                  <c:v>2.378</c:v>
                </c:pt>
                <c:pt idx="218">
                  <c:v>2.38</c:v>
                </c:pt>
                <c:pt idx="219">
                  <c:v>2.388</c:v>
                </c:pt>
                <c:pt idx="220">
                  <c:v>2.406</c:v>
                </c:pt>
                <c:pt idx="221">
                  <c:v>2.406</c:v>
                </c:pt>
                <c:pt idx="222">
                  <c:v>2.406</c:v>
                </c:pt>
                <c:pt idx="223">
                  <c:v>2.406</c:v>
                </c:pt>
                <c:pt idx="224">
                  <c:v>2.406</c:v>
                </c:pt>
                <c:pt idx="225">
                  <c:v>2.406</c:v>
                </c:pt>
                <c:pt idx="226">
                  <c:v>2.406</c:v>
                </c:pt>
                <c:pt idx="227">
                  <c:v>2.406</c:v>
                </c:pt>
                <c:pt idx="228">
                  <c:v>2.406</c:v>
                </c:pt>
                <c:pt idx="229">
                  <c:v>2.406</c:v>
                </c:pt>
                <c:pt idx="230">
                  <c:v>2.406</c:v>
                </c:pt>
                <c:pt idx="231">
                  <c:v>2.406</c:v>
                </c:pt>
                <c:pt idx="232">
                  <c:v>2.406</c:v>
                </c:pt>
                <c:pt idx="233">
                  <c:v>2.406</c:v>
                </c:pt>
                <c:pt idx="234">
                  <c:v>2.406</c:v>
                </c:pt>
                <c:pt idx="235">
                  <c:v>2.406</c:v>
                </c:pt>
                <c:pt idx="236">
                  <c:v>2.406</c:v>
                </c:pt>
                <c:pt idx="237">
                  <c:v>2.406</c:v>
                </c:pt>
                <c:pt idx="238">
                  <c:v>2.406</c:v>
                </c:pt>
                <c:pt idx="239">
                  <c:v>2.39</c:v>
                </c:pt>
                <c:pt idx="240">
                  <c:v>2.388</c:v>
                </c:pt>
                <c:pt idx="241">
                  <c:v>2.38</c:v>
                </c:pt>
                <c:pt idx="242">
                  <c:v>2.38</c:v>
                </c:pt>
                <c:pt idx="243">
                  <c:v>2.378</c:v>
                </c:pt>
                <c:pt idx="244">
                  <c:v>2.37</c:v>
                </c:pt>
                <c:pt idx="245">
                  <c:v>2.37</c:v>
                </c:pt>
                <c:pt idx="246">
                  <c:v>2.368</c:v>
                </c:pt>
                <c:pt idx="247">
                  <c:v>2.368</c:v>
                </c:pt>
                <c:pt idx="248">
                  <c:v>2.368</c:v>
                </c:pt>
                <c:pt idx="249">
                  <c:v>2.37</c:v>
                </c:pt>
                <c:pt idx="250">
                  <c:v>2.368</c:v>
                </c:pt>
                <c:pt idx="251">
                  <c:v>2.368</c:v>
                </c:pt>
                <c:pt idx="252">
                  <c:v>2.368</c:v>
                </c:pt>
                <c:pt idx="253">
                  <c:v>2.368</c:v>
                </c:pt>
                <c:pt idx="254">
                  <c:v>2.37</c:v>
                </c:pt>
                <c:pt idx="255">
                  <c:v>2.378</c:v>
                </c:pt>
                <c:pt idx="256">
                  <c:v>2.38</c:v>
                </c:pt>
                <c:pt idx="257">
                  <c:v>2.38</c:v>
                </c:pt>
                <c:pt idx="258">
                  <c:v>2.388</c:v>
                </c:pt>
                <c:pt idx="259">
                  <c:v>2.388</c:v>
                </c:pt>
              </c:numCache>
            </c:numRef>
          </c:val>
          <c:smooth val="0"/>
        </c:ser>
        <c:ser>
          <c:idx val="2"/>
          <c:order val="2"/>
          <c:tx>
            <c:v>52W P20</c:v>
          </c:tx>
          <c:spPr>
            <a:ln xmlns:a="http://schemas.openxmlformats.org/drawingml/2006/main" w="19050">
              <a:solidFill>
                <a:schemeClr val="bg2">
                  <a:lumMod val="50000"/>
                </a:schemeClr>
              </a:solidFill>
              <a:prstDash val="sysDot"/>
            </a:ln>
          </c:spPr>
          <c:marker>
            <c:symbol val="none"/>
          </c:marker>
          <c:cat>
            <c:numRef>
              <c:f>_DASH_DATA!$X$2:$X$261</c:f>
              <c:numCache>
                <c:formatCode>m/yyyy</c:formatCode>
                <c:ptCount val="260"/>
                <c:pt idx="0">
                  <c:v>44358</c:v>
                </c:pt>
                <c:pt idx="1">
                  <c:v>44365</c:v>
                </c:pt>
                <c:pt idx="2">
                  <c:v>44372</c:v>
                </c:pt>
                <c:pt idx="3">
                  <c:v>44379</c:v>
                </c:pt>
                <c:pt idx="4">
                  <c:v>44386</c:v>
                </c:pt>
                <c:pt idx="5">
                  <c:v>44393</c:v>
                </c:pt>
                <c:pt idx="6">
                  <c:v>44400</c:v>
                </c:pt>
                <c:pt idx="7">
                  <c:v>44407</c:v>
                </c:pt>
                <c:pt idx="8">
                  <c:v>44414</c:v>
                </c:pt>
                <c:pt idx="9">
                  <c:v>44421</c:v>
                </c:pt>
                <c:pt idx="10">
                  <c:v>44428</c:v>
                </c:pt>
                <c:pt idx="11">
                  <c:v>44435</c:v>
                </c:pt>
                <c:pt idx="12">
                  <c:v>44442</c:v>
                </c:pt>
                <c:pt idx="13">
                  <c:v>44449</c:v>
                </c:pt>
                <c:pt idx="14">
                  <c:v>44456</c:v>
                </c:pt>
                <c:pt idx="15">
                  <c:v>44463</c:v>
                </c:pt>
                <c:pt idx="16">
                  <c:v>44470</c:v>
                </c:pt>
                <c:pt idx="17">
                  <c:v>44477</c:v>
                </c:pt>
                <c:pt idx="18">
                  <c:v>44484</c:v>
                </c:pt>
                <c:pt idx="19">
                  <c:v>44491</c:v>
                </c:pt>
                <c:pt idx="20">
                  <c:v>44498</c:v>
                </c:pt>
                <c:pt idx="21">
                  <c:v>44505</c:v>
                </c:pt>
                <c:pt idx="22">
                  <c:v>44512</c:v>
                </c:pt>
                <c:pt idx="23">
                  <c:v>44519</c:v>
                </c:pt>
                <c:pt idx="24">
                  <c:v>44526</c:v>
                </c:pt>
                <c:pt idx="25">
                  <c:v>44533</c:v>
                </c:pt>
                <c:pt idx="26">
                  <c:v>44540</c:v>
                </c:pt>
                <c:pt idx="27">
                  <c:v>44547</c:v>
                </c:pt>
                <c:pt idx="28">
                  <c:v>44554</c:v>
                </c:pt>
                <c:pt idx="29">
                  <c:v>44561</c:v>
                </c:pt>
                <c:pt idx="30">
                  <c:v>44568</c:v>
                </c:pt>
                <c:pt idx="31">
                  <c:v>44575</c:v>
                </c:pt>
                <c:pt idx="32">
                  <c:v>44582</c:v>
                </c:pt>
                <c:pt idx="33">
                  <c:v>44589</c:v>
                </c:pt>
                <c:pt idx="34">
                  <c:v>44596</c:v>
                </c:pt>
                <c:pt idx="35">
                  <c:v>44603</c:v>
                </c:pt>
                <c:pt idx="36">
                  <c:v>44610</c:v>
                </c:pt>
                <c:pt idx="37">
                  <c:v>44617</c:v>
                </c:pt>
                <c:pt idx="38">
                  <c:v>44624</c:v>
                </c:pt>
                <c:pt idx="39">
                  <c:v>44631</c:v>
                </c:pt>
                <c:pt idx="40">
                  <c:v>44638</c:v>
                </c:pt>
                <c:pt idx="41">
                  <c:v>44645</c:v>
                </c:pt>
                <c:pt idx="42">
                  <c:v>44652</c:v>
                </c:pt>
                <c:pt idx="43">
                  <c:v>44659</c:v>
                </c:pt>
                <c:pt idx="44">
                  <c:v>44666</c:v>
                </c:pt>
                <c:pt idx="45">
                  <c:v>44673</c:v>
                </c:pt>
                <c:pt idx="46">
                  <c:v>44680</c:v>
                </c:pt>
                <c:pt idx="47">
                  <c:v>44687</c:v>
                </c:pt>
                <c:pt idx="48">
                  <c:v>44694</c:v>
                </c:pt>
                <c:pt idx="49">
                  <c:v>44701</c:v>
                </c:pt>
                <c:pt idx="50">
                  <c:v>44708</c:v>
                </c:pt>
                <c:pt idx="51">
                  <c:v>44715</c:v>
                </c:pt>
                <c:pt idx="52">
                  <c:v>44722</c:v>
                </c:pt>
                <c:pt idx="53">
                  <c:v>44729</c:v>
                </c:pt>
                <c:pt idx="54">
                  <c:v>44736</c:v>
                </c:pt>
                <c:pt idx="55">
                  <c:v>44743</c:v>
                </c:pt>
                <c:pt idx="56">
                  <c:v>44750</c:v>
                </c:pt>
                <c:pt idx="57">
                  <c:v>44757</c:v>
                </c:pt>
                <c:pt idx="58">
                  <c:v>44764</c:v>
                </c:pt>
                <c:pt idx="59">
                  <c:v>44771</c:v>
                </c:pt>
                <c:pt idx="60">
                  <c:v>44778</c:v>
                </c:pt>
                <c:pt idx="61">
                  <c:v>44785</c:v>
                </c:pt>
                <c:pt idx="62">
                  <c:v>44792</c:v>
                </c:pt>
                <c:pt idx="63">
                  <c:v>44799</c:v>
                </c:pt>
                <c:pt idx="64">
                  <c:v>44806</c:v>
                </c:pt>
                <c:pt idx="65">
                  <c:v>44813</c:v>
                </c:pt>
                <c:pt idx="66">
                  <c:v>44820</c:v>
                </c:pt>
                <c:pt idx="67">
                  <c:v>44827</c:v>
                </c:pt>
                <c:pt idx="68">
                  <c:v>44834</c:v>
                </c:pt>
                <c:pt idx="69">
                  <c:v>44841</c:v>
                </c:pt>
                <c:pt idx="70">
                  <c:v>44848</c:v>
                </c:pt>
                <c:pt idx="71">
                  <c:v>44855</c:v>
                </c:pt>
                <c:pt idx="72">
                  <c:v>44862</c:v>
                </c:pt>
                <c:pt idx="73">
                  <c:v>44869</c:v>
                </c:pt>
                <c:pt idx="74">
                  <c:v>44876</c:v>
                </c:pt>
                <c:pt idx="75">
                  <c:v>44883</c:v>
                </c:pt>
                <c:pt idx="76">
                  <c:v>44890</c:v>
                </c:pt>
                <c:pt idx="77">
                  <c:v>44897</c:v>
                </c:pt>
                <c:pt idx="78">
                  <c:v>44904</c:v>
                </c:pt>
                <c:pt idx="79">
                  <c:v>44911</c:v>
                </c:pt>
                <c:pt idx="80">
                  <c:v>44918</c:v>
                </c:pt>
                <c:pt idx="81">
                  <c:v>44925</c:v>
                </c:pt>
                <c:pt idx="82">
                  <c:v>44932</c:v>
                </c:pt>
                <c:pt idx="83">
                  <c:v>44939</c:v>
                </c:pt>
                <c:pt idx="84">
                  <c:v>44946</c:v>
                </c:pt>
                <c:pt idx="85">
                  <c:v>44953</c:v>
                </c:pt>
                <c:pt idx="86">
                  <c:v>44960</c:v>
                </c:pt>
                <c:pt idx="87">
                  <c:v>44967</c:v>
                </c:pt>
                <c:pt idx="88">
                  <c:v>44974</c:v>
                </c:pt>
                <c:pt idx="89">
                  <c:v>44981</c:v>
                </c:pt>
                <c:pt idx="90">
                  <c:v>44988</c:v>
                </c:pt>
                <c:pt idx="91">
                  <c:v>44995</c:v>
                </c:pt>
                <c:pt idx="92">
                  <c:v>45002</c:v>
                </c:pt>
                <c:pt idx="93">
                  <c:v>45009</c:v>
                </c:pt>
                <c:pt idx="94">
                  <c:v>45016</c:v>
                </c:pt>
                <c:pt idx="95">
                  <c:v>45023</c:v>
                </c:pt>
                <c:pt idx="96">
                  <c:v>45030</c:v>
                </c:pt>
                <c:pt idx="97">
                  <c:v>45037</c:v>
                </c:pt>
                <c:pt idx="98">
                  <c:v>45044</c:v>
                </c:pt>
                <c:pt idx="99">
                  <c:v>45051</c:v>
                </c:pt>
                <c:pt idx="100">
                  <c:v>45058</c:v>
                </c:pt>
                <c:pt idx="101">
                  <c:v>45065</c:v>
                </c:pt>
                <c:pt idx="102">
                  <c:v>45072</c:v>
                </c:pt>
                <c:pt idx="103">
                  <c:v>45079</c:v>
                </c:pt>
                <c:pt idx="104">
                  <c:v>45086</c:v>
                </c:pt>
                <c:pt idx="105">
                  <c:v>45093</c:v>
                </c:pt>
                <c:pt idx="106">
                  <c:v>45100</c:v>
                </c:pt>
                <c:pt idx="107">
                  <c:v>45107</c:v>
                </c:pt>
                <c:pt idx="108">
                  <c:v>45114</c:v>
                </c:pt>
                <c:pt idx="109">
                  <c:v>45121</c:v>
                </c:pt>
                <c:pt idx="110">
                  <c:v>45128</c:v>
                </c:pt>
                <c:pt idx="111">
                  <c:v>45135</c:v>
                </c:pt>
                <c:pt idx="112">
                  <c:v>45142</c:v>
                </c:pt>
                <c:pt idx="113">
                  <c:v>45149</c:v>
                </c:pt>
                <c:pt idx="114">
                  <c:v>45156</c:v>
                </c:pt>
                <c:pt idx="115">
                  <c:v>45163</c:v>
                </c:pt>
                <c:pt idx="116">
                  <c:v>45170</c:v>
                </c:pt>
                <c:pt idx="117">
                  <c:v>45177</c:v>
                </c:pt>
                <c:pt idx="118">
                  <c:v>45184</c:v>
                </c:pt>
                <c:pt idx="119">
                  <c:v>45191</c:v>
                </c:pt>
                <c:pt idx="120">
                  <c:v>45198</c:v>
                </c:pt>
                <c:pt idx="121">
                  <c:v>45205</c:v>
                </c:pt>
                <c:pt idx="122">
                  <c:v>45212</c:v>
                </c:pt>
                <c:pt idx="123">
                  <c:v>45219</c:v>
                </c:pt>
                <c:pt idx="124">
                  <c:v>45226</c:v>
                </c:pt>
                <c:pt idx="125">
                  <c:v>45233</c:v>
                </c:pt>
                <c:pt idx="126">
                  <c:v>45240</c:v>
                </c:pt>
                <c:pt idx="127">
                  <c:v>45247</c:v>
                </c:pt>
                <c:pt idx="128">
                  <c:v>45254</c:v>
                </c:pt>
                <c:pt idx="129">
                  <c:v>45261</c:v>
                </c:pt>
                <c:pt idx="130">
                  <c:v>45268</c:v>
                </c:pt>
                <c:pt idx="131">
                  <c:v>45275</c:v>
                </c:pt>
                <c:pt idx="132">
                  <c:v>45282</c:v>
                </c:pt>
                <c:pt idx="133">
                  <c:v>45289</c:v>
                </c:pt>
                <c:pt idx="134">
                  <c:v>45296</c:v>
                </c:pt>
                <c:pt idx="135">
                  <c:v>45303</c:v>
                </c:pt>
                <c:pt idx="136">
                  <c:v>45310</c:v>
                </c:pt>
                <c:pt idx="137">
                  <c:v>45317</c:v>
                </c:pt>
                <c:pt idx="138">
                  <c:v>45324</c:v>
                </c:pt>
                <c:pt idx="139">
                  <c:v>45331</c:v>
                </c:pt>
                <c:pt idx="140">
                  <c:v>45338</c:v>
                </c:pt>
                <c:pt idx="141">
                  <c:v>45345</c:v>
                </c:pt>
                <c:pt idx="142">
                  <c:v>45352</c:v>
                </c:pt>
                <c:pt idx="143">
                  <c:v>45359</c:v>
                </c:pt>
                <c:pt idx="144">
                  <c:v>45366</c:v>
                </c:pt>
                <c:pt idx="145">
                  <c:v>45373</c:v>
                </c:pt>
                <c:pt idx="146">
                  <c:v>45380</c:v>
                </c:pt>
                <c:pt idx="147">
                  <c:v>45387</c:v>
                </c:pt>
                <c:pt idx="148">
                  <c:v>45394</c:v>
                </c:pt>
                <c:pt idx="149">
                  <c:v>45401</c:v>
                </c:pt>
                <c:pt idx="150">
                  <c:v>45408</c:v>
                </c:pt>
                <c:pt idx="151">
                  <c:v>45415</c:v>
                </c:pt>
                <c:pt idx="152">
                  <c:v>45422</c:v>
                </c:pt>
                <c:pt idx="153">
                  <c:v>45429</c:v>
                </c:pt>
                <c:pt idx="154">
                  <c:v>45436</c:v>
                </c:pt>
                <c:pt idx="155">
                  <c:v>45443</c:v>
                </c:pt>
                <c:pt idx="156">
                  <c:v>45450</c:v>
                </c:pt>
                <c:pt idx="157">
                  <c:v>45457</c:v>
                </c:pt>
                <c:pt idx="158">
                  <c:v>45464</c:v>
                </c:pt>
                <c:pt idx="159">
                  <c:v>45471</c:v>
                </c:pt>
                <c:pt idx="160">
                  <c:v>45478</c:v>
                </c:pt>
                <c:pt idx="161">
                  <c:v>45485</c:v>
                </c:pt>
                <c:pt idx="162">
                  <c:v>45492</c:v>
                </c:pt>
                <c:pt idx="163">
                  <c:v>45499</c:v>
                </c:pt>
                <c:pt idx="164">
                  <c:v>45506</c:v>
                </c:pt>
                <c:pt idx="165">
                  <c:v>45513</c:v>
                </c:pt>
                <c:pt idx="166">
                  <c:v>45520</c:v>
                </c:pt>
                <c:pt idx="167">
                  <c:v>45527</c:v>
                </c:pt>
                <c:pt idx="168">
                  <c:v>45534</c:v>
                </c:pt>
                <c:pt idx="169">
                  <c:v>45541</c:v>
                </c:pt>
                <c:pt idx="170">
                  <c:v>45548</c:v>
                </c:pt>
                <c:pt idx="171">
                  <c:v>45555</c:v>
                </c:pt>
                <c:pt idx="172">
                  <c:v>45562</c:v>
                </c:pt>
                <c:pt idx="173">
                  <c:v>45569</c:v>
                </c:pt>
                <c:pt idx="174">
                  <c:v>45576</c:v>
                </c:pt>
                <c:pt idx="175">
                  <c:v>45583</c:v>
                </c:pt>
                <c:pt idx="176">
                  <c:v>45590</c:v>
                </c:pt>
                <c:pt idx="177">
                  <c:v>45597</c:v>
                </c:pt>
                <c:pt idx="178">
                  <c:v>45604</c:v>
                </c:pt>
                <c:pt idx="179">
                  <c:v>45611</c:v>
                </c:pt>
                <c:pt idx="180">
                  <c:v>45618</c:v>
                </c:pt>
                <c:pt idx="181">
                  <c:v>45625</c:v>
                </c:pt>
                <c:pt idx="182">
                  <c:v>45632</c:v>
                </c:pt>
                <c:pt idx="183">
                  <c:v>45639</c:v>
                </c:pt>
                <c:pt idx="184">
                  <c:v>45646</c:v>
                </c:pt>
                <c:pt idx="185">
                  <c:v>45653</c:v>
                </c:pt>
                <c:pt idx="186">
                  <c:v>45660</c:v>
                </c:pt>
                <c:pt idx="187">
                  <c:v>45667</c:v>
                </c:pt>
                <c:pt idx="188">
                  <c:v>45674</c:v>
                </c:pt>
                <c:pt idx="189">
                  <c:v>45681</c:v>
                </c:pt>
                <c:pt idx="190">
                  <c:v>45688</c:v>
                </c:pt>
                <c:pt idx="191">
                  <c:v>45695</c:v>
                </c:pt>
                <c:pt idx="192">
                  <c:v>45702</c:v>
                </c:pt>
                <c:pt idx="193">
                  <c:v>45709</c:v>
                </c:pt>
                <c:pt idx="194">
                  <c:v>45716</c:v>
                </c:pt>
                <c:pt idx="195">
                  <c:v>45723</c:v>
                </c:pt>
                <c:pt idx="196">
                  <c:v>45730</c:v>
                </c:pt>
                <c:pt idx="197">
                  <c:v>45737</c:v>
                </c:pt>
                <c:pt idx="198">
                  <c:v>45744</c:v>
                </c:pt>
                <c:pt idx="199">
                  <c:v>45751</c:v>
                </c:pt>
                <c:pt idx="200">
                  <c:v>45758</c:v>
                </c:pt>
                <c:pt idx="201">
                  <c:v>45765</c:v>
                </c:pt>
                <c:pt idx="202">
                  <c:v>45772</c:v>
                </c:pt>
                <c:pt idx="203">
                  <c:v>45779</c:v>
                </c:pt>
                <c:pt idx="204">
                  <c:v>45786</c:v>
                </c:pt>
                <c:pt idx="205">
                  <c:v>45793</c:v>
                </c:pt>
                <c:pt idx="206">
                  <c:v>45800</c:v>
                </c:pt>
                <c:pt idx="207">
                  <c:v>45807</c:v>
                </c:pt>
                <c:pt idx="208">
                  <c:v>45814</c:v>
                </c:pt>
                <c:pt idx="209">
                  <c:v>45821</c:v>
                </c:pt>
                <c:pt idx="210">
                  <c:v>45828</c:v>
                </c:pt>
                <c:pt idx="211">
                  <c:v>45835</c:v>
                </c:pt>
                <c:pt idx="212">
                  <c:v>45842</c:v>
                </c:pt>
                <c:pt idx="213">
                  <c:v>45849</c:v>
                </c:pt>
                <c:pt idx="214">
                  <c:v>45856</c:v>
                </c:pt>
                <c:pt idx="215">
                  <c:v>45863</c:v>
                </c:pt>
                <c:pt idx="216">
                  <c:v>45870</c:v>
                </c:pt>
                <c:pt idx="217">
                  <c:v>45877</c:v>
                </c:pt>
                <c:pt idx="218">
                  <c:v>45884</c:v>
                </c:pt>
                <c:pt idx="219">
                  <c:v>45891</c:v>
                </c:pt>
                <c:pt idx="220">
                  <c:v>45898</c:v>
                </c:pt>
                <c:pt idx="221">
                  <c:v>45905</c:v>
                </c:pt>
                <c:pt idx="222">
                  <c:v>45912</c:v>
                </c:pt>
                <c:pt idx="223">
                  <c:v>45919</c:v>
                </c:pt>
                <c:pt idx="224">
                  <c:v>45926</c:v>
                </c:pt>
                <c:pt idx="225">
                  <c:v>45933</c:v>
                </c:pt>
                <c:pt idx="226">
                  <c:v>45940</c:v>
                </c:pt>
                <c:pt idx="227">
                  <c:v>45947</c:v>
                </c:pt>
                <c:pt idx="228">
                  <c:v>45954</c:v>
                </c:pt>
                <c:pt idx="229">
                  <c:v>45961</c:v>
                </c:pt>
                <c:pt idx="230">
                  <c:v>45968</c:v>
                </c:pt>
                <c:pt idx="231">
                  <c:v>45975</c:v>
                </c:pt>
                <c:pt idx="232">
                  <c:v>45982</c:v>
                </c:pt>
                <c:pt idx="233">
                  <c:v>45989</c:v>
                </c:pt>
                <c:pt idx="234">
                  <c:v>45996</c:v>
                </c:pt>
                <c:pt idx="235">
                  <c:v>46003</c:v>
                </c:pt>
                <c:pt idx="236">
                  <c:v>46010</c:v>
                </c:pt>
                <c:pt idx="237">
                  <c:v>46017</c:v>
                </c:pt>
                <c:pt idx="238">
                  <c:v>46024</c:v>
                </c:pt>
                <c:pt idx="239">
                  <c:v>46031</c:v>
                </c:pt>
                <c:pt idx="240">
                  <c:v>46038</c:v>
                </c:pt>
                <c:pt idx="241">
                  <c:v>46045</c:v>
                </c:pt>
                <c:pt idx="242">
                  <c:v>46052</c:v>
                </c:pt>
                <c:pt idx="243">
                  <c:v>46059</c:v>
                </c:pt>
                <c:pt idx="244">
                  <c:v>46066</c:v>
                </c:pt>
                <c:pt idx="245">
                  <c:v>46073</c:v>
                </c:pt>
                <c:pt idx="246">
                  <c:v>46080</c:v>
                </c:pt>
                <c:pt idx="247">
                  <c:v>46087</c:v>
                </c:pt>
                <c:pt idx="248">
                  <c:v>46094</c:v>
                </c:pt>
                <c:pt idx="249">
                  <c:v>46101</c:v>
                </c:pt>
                <c:pt idx="250">
                  <c:v>46108</c:v>
                </c:pt>
                <c:pt idx="251">
                  <c:v>46115</c:v>
                </c:pt>
                <c:pt idx="252">
                  <c:v>46122</c:v>
                </c:pt>
                <c:pt idx="253">
                  <c:v>46129</c:v>
                </c:pt>
                <c:pt idx="254">
                  <c:v>46136</c:v>
                </c:pt>
                <c:pt idx="255">
                  <c:v>46143</c:v>
                </c:pt>
                <c:pt idx="256">
                  <c:v>46150</c:v>
                </c:pt>
                <c:pt idx="257">
                  <c:v>46157</c:v>
                </c:pt>
                <c:pt idx="258">
                  <c:v>46164</c:v>
                </c:pt>
                <c:pt idx="259">
                  <c:v>46171</c:v>
                </c:pt>
              </c:numCache>
            </c:numRef>
          </c:cat>
          <c:val>
            <c:numRef>
              <c:f>_DASH_DATA!$AA$2:$AA$261</c:f>
              <c:numCache>
                <c:formatCode>General</c:formatCode>
                <c:ptCount val="260"/>
                <c:pt idx="0">
                  <c:v>1.642</c:v>
                </c:pt>
                <c:pt idx="1">
                  <c:v>1.65</c:v>
                </c:pt>
                <c:pt idx="2">
                  <c:v>1.65</c:v>
                </c:pt>
                <c:pt idx="3">
                  <c:v>1.654</c:v>
                </c:pt>
                <c:pt idx="4">
                  <c:v>1.674</c:v>
                </c:pt>
                <c:pt idx="5">
                  <c:v>1.692</c:v>
                </c:pt>
                <c:pt idx="6">
                  <c:v>1.7</c:v>
                </c:pt>
                <c:pt idx="7">
                  <c:v>1.702</c:v>
                </c:pt>
                <c:pt idx="8">
                  <c:v>1.712</c:v>
                </c:pt>
                <c:pt idx="9">
                  <c:v>1.722</c:v>
                </c:pt>
                <c:pt idx="10">
                  <c:v>1.734</c:v>
                </c:pt>
                <c:pt idx="11">
                  <c:v>1.734</c:v>
                </c:pt>
                <c:pt idx="12">
                  <c:v>1.75</c:v>
                </c:pt>
                <c:pt idx="13">
                  <c:v>1.774</c:v>
                </c:pt>
                <c:pt idx="14">
                  <c:v>1.874</c:v>
                </c:pt>
                <c:pt idx="15">
                  <c:v>1.902</c:v>
                </c:pt>
                <c:pt idx="16">
                  <c:v>1.954</c:v>
                </c:pt>
                <c:pt idx="17">
                  <c:v>1.974</c:v>
                </c:pt>
                <c:pt idx="18">
                  <c:v>2.004</c:v>
                </c:pt>
                <c:pt idx="19">
                  <c:v>2.066</c:v>
                </c:pt>
                <c:pt idx="20">
                  <c:v>2.092</c:v>
                </c:pt>
                <c:pt idx="21">
                  <c:v>2.106</c:v>
                </c:pt>
                <c:pt idx="22">
                  <c:v>2.132</c:v>
                </c:pt>
                <c:pt idx="23">
                  <c:v>2.142</c:v>
                </c:pt>
                <c:pt idx="24">
                  <c:v>2.162</c:v>
                </c:pt>
                <c:pt idx="25">
                  <c:v>2.21</c:v>
                </c:pt>
                <c:pt idx="26">
                  <c:v>2.212</c:v>
                </c:pt>
                <c:pt idx="27">
                  <c:v>2.224</c:v>
                </c:pt>
                <c:pt idx="28">
                  <c:v>2.244</c:v>
                </c:pt>
                <c:pt idx="29">
                  <c:v>2.262</c:v>
                </c:pt>
                <c:pt idx="30">
                  <c:v>2.272</c:v>
                </c:pt>
                <c:pt idx="31">
                  <c:v>2.286</c:v>
                </c:pt>
                <c:pt idx="32">
                  <c:v>2.31</c:v>
                </c:pt>
                <c:pt idx="33">
                  <c:v>2.312</c:v>
                </c:pt>
                <c:pt idx="34">
                  <c:v>2.322</c:v>
                </c:pt>
                <c:pt idx="35">
                  <c:v>2.33</c:v>
                </c:pt>
                <c:pt idx="36">
                  <c:v>2.33</c:v>
                </c:pt>
                <c:pt idx="37">
                  <c:v>2.332</c:v>
                </c:pt>
                <c:pt idx="38">
                  <c:v>2.34</c:v>
                </c:pt>
                <c:pt idx="39">
                  <c:v>2.34</c:v>
                </c:pt>
                <c:pt idx="40">
                  <c:v>2.34</c:v>
                </c:pt>
                <c:pt idx="41">
                  <c:v>2.34</c:v>
                </c:pt>
                <c:pt idx="42">
                  <c:v>2.34</c:v>
                </c:pt>
                <c:pt idx="43">
                  <c:v>2.34</c:v>
                </c:pt>
                <c:pt idx="44">
                  <c:v>2.34</c:v>
                </c:pt>
                <c:pt idx="45">
                  <c:v>2.342</c:v>
                </c:pt>
                <c:pt idx="46">
                  <c:v>2.342</c:v>
                </c:pt>
                <c:pt idx="47">
                  <c:v>2.342</c:v>
                </c:pt>
                <c:pt idx="48">
                  <c:v>2.342</c:v>
                </c:pt>
                <c:pt idx="49">
                  <c:v>2.342</c:v>
                </c:pt>
                <c:pt idx="50">
                  <c:v>2.342</c:v>
                </c:pt>
                <c:pt idx="51">
                  <c:v>2.342</c:v>
                </c:pt>
                <c:pt idx="52">
                  <c:v>2.354</c:v>
                </c:pt>
                <c:pt idx="53">
                  <c:v>2.37</c:v>
                </c:pt>
                <c:pt idx="54">
                  <c:v>2.372</c:v>
                </c:pt>
                <c:pt idx="55">
                  <c:v>2.372</c:v>
                </c:pt>
                <c:pt idx="56">
                  <c:v>2.372</c:v>
                </c:pt>
                <c:pt idx="57">
                  <c:v>2.372</c:v>
                </c:pt>
                <c:pt idx="58">
                  <c:v>2.372</c:v>
                </c:pt>
                <c:pt idx="59">
                  <c:v>2.372</c:v>
                </c:pt>
                <c:pt idx="60">
                  <c:v>2.38</c:v>
                </c:pt>
                <c:pt idx="61">
                  <c:v>2.382</c:v>
                </c:pt>
                <c:pt idx="62">
                  <c:v>2.392</c:v>
                </c:pt>
                <c:pt idx="63">
                  <c:v>2.402</c:v>
                </c:pt>
                <c:pt idx="64">
                  <c:v>2.41</c:v>
                </c:pt>
                <c:pt idx="65">
                  <c:v>2.412</c:v>
                </c:pt>
                <c:pt idx="66">
                  <c:v>2.412</c:v>
                </c:pt>
                <c:pt idx="67">
                  <c:v>2.412</c:v>
                </c:pt>
                <c:pt idx="68">
                  <c:v>2.412</c:v>
                </c:pt>
                <c:pt idx="69">
                  <c:v>2.41</c:v>
                </c:pt>
                <c:pt idx="70">
                  <c:v>2.41</c:v>
                </c:pt>
                <c:pt idx="71">
                  <c:v>2.41</c:v>
                </c:pt>
                <c:pt idx="72">
                  <c:v>2.41</c:v>
                </c:pt>
                <c:pt idx="73">
                  <c:v>2.41</c:v>
                </c:pt>
                <c:pt idx="74">
                  <c:v>2.394</c:v>
                </c:pt>
                <c:pt idx="75">
                  <c:v>2.382</c:v>
                </c:pt>
                <c:pt idx="76">
                  <c:v>2.38</c:v>
                </c:pt>
                <c:pt idx="77">
                  <c:v>2.38</c:v>
                </c:pt>
                <c:pt idx="78">
                  <c:v>2.372</c:v>
                </c:pt>
                <c:pt idx="79">
                  <c:v>2.37</c:v>
                </c:pt>
                <c:pt idx="80">
                  <c:v>2.362</c:v>
                </c:pt>
                <c:pt idx="81">
                  <c:v>2.344</c:v>
                </c:pt>
                <c:pt idx="82">
                  <c:v>2.34</c:v>
                </c:pt>
                <c:pt idx="83">
                  <c:v>2.34</c:v>
                </c:pt>
                <c:pt idx="84">
                  <c:v>2.324</c:v>
                </c:pt>
                <c:pt idx="85">
                  <c:v>2.322</c:v>
                </c:pt>
                <c:pt idx="86">
                  <c:v>2.304</c:v>
                </c:pt>
                <c:pt idx="87">
                  <c:v>2.304</c:v>
                </c:pt>
                <c:pt idx="88">
                  <c:v>2.304</c:v>
                </c:pt>
                <c:pt idx="89">
                  <c:v>2.304</c:v>
                </c:pt>
                <c:pt idx="90">
                  <c:v>2.304</c:v>
                </c:pt>
                <c:pt idx="91">
                  <c:v>2.276</c:v>
                </c:pt>
                <c:pt idx="92">
                  <c:v>2.262</c:v>
                </c:pt>
                <c:pt idx="93">
                  <c:v>2.26</c:v>
                </c:pt>
                <c:pt idx="94">
                  <c:v>2.26</c:v>
                </c:pt>
                <c:pt idx="95">
                  <c:v>2.252</c:v>
                </c:pt>
                <c:pt idx="96">
                  <c:v>2.252</c:v>
                </c:pt>
                <c:pt idx="97">
                  <c:v>2.252</c:v>
                </c:pt>
                <c:pt idx="98">
                  <c:v>2.25</c:v>
                </c:pt>
                <c:pt idx="99">
                  <c:v>2.234</c:v>
                </c:pt>
                <c:pt idx="100">
                  <c:v>2.222</c:v>
                </c:pt>
                <c:pt idx="101">
                  <c:v>2.222</c:v>
                </c:pt>
                <c:pt idx="102">
                  <c:v>2.222</c:v>
                </c:pt>
                <c:pt idx="103">
                  <c:v>2.22</c:v>
                </c:pt>
                <c:pt idx="104">
                  <c:v>2.212</c:v>
                </c:pt>
                <c:pt idx="105">
                  <c:v>2.212</c:v>
                </c:pt>
                <c:pt idx="106">
                  <c:v>2.21</c:v>
                </c:pt>
                <c:pt idx="107">
                  <c:v>2.21</c:v>
                </c:pt>
                <c:pt idx="108">
                  <c:v>2.21</c:v>
                </c:pt>
                <c:pt idx="109">
                  <c:v>2.21</c:v>
                </c:pt>
                <c:pt idx="110">
                  <c:v>2.21</c:v>
                </c:pt>
                <c:pt idx="111">
                  <c:v>2.21</c:v>
                </c:pt>
                <c:pt idx="112">
                  <c:v>2.21</c:v>
                </c:pt>
                <c:pt idx="113">
                  <c:v>2.21</c:v>
                </c:pt>
                <c:pt idx="114">
                  <c:v>2.21</c:v>
                </c:pt>
                <c:pt idx="115">
                  <c:v>2.21</c:v>
                </c:pt>
                <c:pt idx="116">
                  <c:v>2.21</c:v>
                </c:pt>
                <c:pt idx="117">
                  <c:v>2.21</c:v>
                </c:pt>
                <c:pt idx="118">
                  <c:v>2.21</c:v>
                </c:pt>
                <c:pt idx="119">
                  <c:v>2.21</c:v>
                </c:pt>
                <c:pt idx="120">
                  <c:v>2.212</c:v>
                </c:pt>
                <c:pt idx="121">
                  <c:v>2.212</c:v>
                </c:pt>
                <c:pt idx="122">
                  <c:v>2.212</c:v>
                </c:pt>
                <c:pt idx="123">
                  <c:v>2.212</c:v>
                </c:pt>
                <c:pt idx="124">
                  <c:v>2.212</c:v>
                </c:pt>
                <c:pt idx="125">
                  <c:v>2.212</c:v>
                </c:pt>
                <c:pt idx="126">
                  <c:v>2.212</c:v>
                </c:pt>
                <c:pt idx="127">
                  <c:v>2.212</c:v>
                </c:pt>
                <c:pt idx="128">
                  <c:v>2.212</c:v>
                </c:pt>
                <c:pt idx="129">
                  <c:v>2.212</c:v>
                </c:pt>
                <c:pt idx="130">
                  <c:v>2.21</c:v>
                </c:pt>
                <c:pt idx="131">
                  <c:v>2.212</c:v>
                </c:pt>
                <c:pt idx="132">
                  <c:v>2.212</c:v>
                </c:pt>
                <c:pt idx="133">
                  <c:v>2.21</c:v>
                </c:pt>
                <c:pt idx="134">
                  <c:v>2.212</c:v>
                </c:pt>
                <c:pt idx="135">
                  <c:v>2.22</c:v>
                </c:pt>
                <c:pt idx="136">
                  <c:v>2.22</c:v>
                </c:pt>
                <c:pt idx="137">
                  <c:v>2.22</c:v>
                </c:pt>
                <c:pt idx="138">
                  <c:v>2.212</c:v>
                </c:pt>
                <c:pt idx="139">
                  <c:v>2.212</c:v>
                </c:pt>
                <c:pt idx="140">
                  <c:v>2.212</c:v>
                </c:pt>
                <c:pt idx="141">
                  <c:v>2.212</c:v>
                </c:pt>
                <c:pt idx="142">
                  <c:v>2.212</c:v>
                </c:pt>
                <c:pt idx="143">
                  <c:v>2.212</c:v>
                </c:pt>
                <c:pt idx="144">
                  <c:v>2.22</c:v>
                </c:pt>
                <c:pt idx="145">
                  <c:v>2.22</c:v>
                </c:pt>
                <c:pt idx="146">
                  <c:v>2.22</c:v>
                </c:pt>
                <c:pt idx="147">
                  <c:v>2.22</c:v>
                </c:pt>
                <c:pt idx="148">
                  <c:v>2.22</c:v>
                </c:pt>
                <c:pt idx="149">
                  <c:v>2.22</c:v>
                </c:pt>
                <c:pt idx="150">
                  <c:v>2.22</c:v>
                </c:pt>
                <c:pt idx="151">
                  <c:v>2.22</c:v>
                </c:pt>
                <c:pt idx="152">
                  <c:v>2.22</c:v>
                </c:pt>
                <c:pt idx="153">
                  <c:v>2.22</c:v>
                </c:pt>
                <c:pt idx="154">
                  <c:v>2.22</c:v>
                </c:pt>
                <c:pt idx="155">
                  <c:v>2.224</c:v>
                </c:pt>
                <c:pt idx="156">
                  <c:v>2.242</c:v>
                </c:pt>
                <c:pt idx="157">
                  <c:v>2.242</c:v>
                </c:pt>
                <c:pt idx="158">
                  <c:v>2.242</c:v>
                </c:pt>
                <c:pt idx="159">
                  <c:v>2.252</c:v>
                </c:pt>
                <c:pt idx="160">
                  <c:v>2.252</c:v>
                </c:pt>
                <c:pt idx="161">
                  <c:v>2.252</c:v>
                </c:pt>
                <c:pt idx="162">
                  <c:v>2.252</c:v>
                </c:pt>
                <c:pt idx="163">
                  <c:v>2.252</c:v>
                </c:pt>
                <c:pt idx="164">
                  <c:v>2.242</c:v>
                </c:pt>
                <c:pt idx="165">
                  <c:v>2.232</c:v>
                </c:pt>
                <c:pt idx="166">
                  <c:v>2.222</c:v>
                </c:pt>
                <c:pt idx="167">
                  <c:v>2.22</c:v>
                </c:pt>
                <c:pt idx="168">
                  <c:v>2.22</c:v>
                </c:pt>
                <c:pt idx="169">
                  <c:v>2.212</c:v>
                </c:pt>
                <c:pt idx="170">
                  <c:v>2.21</c:v>
                </c:pt>
                <c:pt idx="171">
                  <c:v>2.194</c:v>
                </c:pt>
                <c:pt idx="172">
                  <c:v>2.174</c:v>
                </c:pt>
                <c:pt idx="173">
                  <c:v>2.174</c:v>
                </c:pt>
                <c:pt idx="174">
                  <c:v>2.174</c:v>
                </c:pt>
                <c:pt idx="175">
                  <c:v>2.174</c:v>
                </c:pt>
                <c:pt idx="176">
                  <c:v>2.174</c:v>
                </c:pt>
                <c:pt idx="177">
                  <c:v>2.174</c:v>
                </c:pt>
                <c:pt idx="178">
                  <c:v>2.174</c:v>
                </c:pt>
                <c:pt idx="179">
                  <c:v>2.174</c:v>
                </c:pt>
                <c:pt idx="180">
                  <c:v>2.174</c:v>
                </c:pt>
                <c:pt idx="181">
                  <c:v>2.174</c:v>
                </c:pt>
                <c:pt idx="182">
                  <c:v>2.174</c:v>
                </c:pt>
                <c:pt idx="183">
                  <c:v>2.174</c:v>
                </c:pt>
                <c:pt idx="184">
                  <c:v>2.178</c:v>
                </c:pt>
                <c:pt idx="185">
                  <c:v>2.212</c:v>
                </c:pt>
                <c:pt idx="186">
                  <c:v>2.214</c:v>
                </c:pt>
                <c:pt idx="187">
                  <c:v>2.214</c:v>
                </c:pt>
                <c:pt idx="188">
                  <c:v>2.214</c:v>
                </c:pt>
                <c:pt idx="189">
                  <c:v>2.214</c:v>
                </c:pt>
                <c:pt idx="190">
                  <c:v>2.23</c:v>
                </c:pt>
                <c:pt idx="191">
                  <c:v>2.23</c:v>
                </c:pt>
                <c:pt idx="192">
                  <c:v>2.23</c:v>
                </c:pt>
                <c:pt idx="193">
                  <c:v>2.23</c:v>
                </c:pt>
                <c:pt idx="194">
                  <c:v>2.23</c:v>
                </c:pt>
                <c:pt idx="195">
                  <c:v>2.23</c:v>
                </c:pt>
                <c:pt idx="196">
                  <c:v>2.23</c:v>
                </c:pt>
                <c:pt idx="197">
                  <c:v>2.23</c:v>
                </c:pt>
                <c:pt idx="198">
                  <c:v>2.23</c:v>
                </c:pt>
                <c:pt idx="199">
                  <c:v>2.19</c:v>
                </c:pt>
                <c:pt idx="200">
                  <c:v>2.184</c:v>
                </c:pt>
                <c:pt idx="201">
                  <c:v>2.184</c:v>
                </c:pt>
                <c:pt idx="202">
                  <c:v>2.184</c:v>
                </c:pt>
                <c:pt idx="203">
                  <c:v>2.184</c:v>
                </c:pt>
                <c:pt idx="204">
                  <c:v>2.184</c:v>
                </c:pt>
                <c:pt idx="205">
                  <c:v>2.184</c:v>
                </c:pt>
                <c:pt idx="206">
                  <c:v>2.184</c:v>
                </c:pt>
                <c:pt idx="207">
                  <c:v>2.184</c:v>
                </c:pt>
                <c:pt idx="208">
                  <c:v>2.184</c:v>
                </c:pt>
                <c:pt idx="209">
                  <c:v>2.206</c:v>
                </c:pt>
                <c:pt idx="210">
                  <c:v>2.206</c:v>
                </c:pt>
                <c:pt idx="211">
                  <c:v>2.206</c:v>
                </c:pt>
                <c:pt idx="212">
                  <c:v>2.206</c:v>
                </c:pt>
                <c:pt idx="213">
                  <c:v>2.206</c:v>
                </c:pt>
                <c:pt idx="214">
                  <c:v>2.206</c:v>
                </c:pt>
                <c:pt idx="215">
                  <c:v>2.206</c:v>
                </c:pt>
                <c:pt idx="216">
                  <c:v>2.23</c:v>
                </c:pt>
                <c:pt idx="217">
                  <c:v>2.232</c:v>
                </c:pt>
                <c:pt idx="218">
                  <c:v>2.244</c:v>
                </c:pt>
                <c:pt idx="219">
                  <c:v>2.262</c:v>
                </c:pt>
                <c:pt idx="220">
                  <c:v>2.27</c:v>
                </c:pt>
                <c:pt idx="221">
                  <c:v>2.272</c:v>
                </c:pt>
                <c:pt idx="222">
                  <c:v>2.282</c:v>
                </c:pt>
                <c:pt idx="223">
                  <c:v>2.29</c:v>
                </c:pt>
                <c:pt idx="224">
                  <c:v>2.29</c:v>
                </c:pt>
                <c:pt idx="225">
                  <c:v>2.29</c:v>
                </c:pt>
                <c:pt idx="226">
                  <c:v>2.29</c:v>
                </c:pt>
                <c:pt idx="227">
                  <c:v>2.29</c:v>
                </c:pt>
                <c:pt idx="228">
                  <c:v>2.29</c:v>
                </c:pt>
                <c:pt idx="229">
                  <c:v>2.29</c:v>
                </c:pt>
                <c:pt idx="230">
                  <c:v>2.29</c:v>
                </c:pt>
                <c:pt idx="231">
                  <c:v>2.282</c:v>
                </c:pt>
                <c:pt idx="232">
                  <c:v>2.28</c:v>
                </c:pt>
                <c:pt idx="233">
                  <c:v>2.28</c:v>
                </c:pt>
                <c:pt idx="234">
                  <c:v>2.28</c:v>
                </c:pt>
                <c:pt idx="235">
                  <c:v>2.28</c:v>
                </c:pt>
                <c:pt idx="236">
                  <c:v>2.272</c:v>
                </c:pt>
                <c:pt idx="237">
                  <c:v>2.27</c:v>
                </c:pt>
                <c:pt idx="238">
                  <c:v>2.27</c:v>
                </c:pt>
                <c:pt idx="239">
                  <c:v>2.27</c:v>
                </c:pt>
                <c:pt idx="240">
                  <c:v>2.27</c:v>
                </c:pt>
                <c:pt idx="241">
                  <c:v>2.27</c:v>
                </c:pt>
                <c:pt idx="242">
                  <c:v>2.27</c:v>
                </c:pt>
                <c:pt idx="243">
                  <c:v>2.27</c:v>
                </c:pt>
                <c:pt idx="244">
                  <c:v>2.27</c:v>
                </c:pt>
                <c:pt idx="245">
                  <c:v>2.27</c:v>
                </c:pt>
                <c:pt idx="246">
                  <c:v>2.262</c:v>
                </c:pt>
                <c:pt idx="247">
                  <c:v>2.262</c:v>
                </c:pt>
                <c:pt idx="248">
                  <c:v>2.262</c:v>
                </c:pt>
                <c:pt idx="249">
                  <c:v>2.262</c:v>
                </c:pt>
                <c:pt idx="250">
                  <c:v>2.262</c:v>
                </c:pt>
                <c:pt idx="251">
                  <c:v>2.27</c:v>
                </c:pt>
                <c:pt idx="252">
                  <c:v>2.27</c:v>
                </c:pt>
                <c:pt idx="253">
                  <c:v>2.27</c:v>
                </c:pt>
                <c:pt idx="254">
                  <c:v>2.272</c:v>
                </c:pt>
                <c:pt idx="255">
                  <c:v>2.28</c:v>
                </c:pt>
                <c:pt idx="256">
                  <c:v>2.28</c:v>
                </c:pt>
                <c:pt idx="257">
                  <c:v>2.28</c:v>
                </c:pt>
                <c:pt idx="258">
                  <c:v>2.28</c:v>
                </c:pt>
                <c:pt idx="259">
                  <c:v>2.28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m/yyyy" sourceLinked="0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  <a:prstDash val="solid"/>
          </a:ln>
        </c:spPr>
        <c:txPr>
          <a:bodyPr xmlns:a="http://schemas.openxmlformats.org/drawingml/2006/main" rot="-2700000" anchor="ctr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/>
                  <a:t>Breakeven Inflation (%)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/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  <a:prstDash val="solid"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18</xdr:row>
      <xdr:rowOff>11723</xdr:rowOff>
    </xdr:from>
    <xdr:to>
      <xdr:col>4</xdr:col>
      <xdr:colOff>638907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9b1a884bb742b0"/>
        </a:graphicData>
      </a:graphic>
    </xdr:graphicFrame>
    <xdr:clientData/>
  </xdr:twoCellAnchor>
  <xdr:twoCellAnchor>
    <xdr:from>
      <xdr:col>6</xdr:col>
      <xdr:colOff>1171</xdr:colOff>
      <xdr:row>18</xdr:row>
      <xdr:rowOff>5255</xdr:rowOff>
    </xdr:from>
    <xdr:to>
      <xdr:col>10</xdr:col>
      <xdr:colOff>631371</xdr:colOff>
      <xdr:row>28</xdr:row>
      <xdr:rowOff>1172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4f70629ccd433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13</xdr:row>
      <xdr:rowOff>1</xdr:rowOff>
    </xdr:from>
    <xdr:to>
      <xdr:col>7</xdr:col>
      <xdr:colOff>0</xdr:colOff>
      <xdr:row>27</xdr:row>
      <xdr:rowOff>1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e987d005d54f06"/>
        </a:graphicData>
      </a:graphic>
    </xdr:graphicFrame>
    <xdr:clientData/>
  </xdr:twoCellAnchor>
  <xdr:twoCellAnchor>
    <xdr:from>
      <xdr:col>8</xdr:col>
      <xdr:colOff>0</xdr:colOff>
      <xdr:row>13</xdr:row>
      <xdr:rowOff>0</xdr:rowOff>
    </xdr:from>
    <xdr:to>
      <xdr:col>15</xdr:col>
      <xdr:colOff>0</xdr:colOff>
      <xdr:row>27</xdr:row>
      <xdr:rowOff>1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9d8a2f0f064b50"/>
        </a:graphicData>
      </a:graphic>
    </xdr:graphicFrame>
    <xdr:clientData/>
  </xdr:twoCellAnchor>
  <xdr:twoCellAnchor>
    <xdr:from>
      <xdr:col>8</xdr:col>
      <xdr:colOff>1</xdr:colOff>
      <xdr:row>47</xdr:row>
      <xdr:rowOff>0</xdr:rowOff>
    </xdr:from>
    <xdr:to>
      <xdr:col>15</xdr:col>
      <xdr:colOff>1</xdr:colOff>
      <xdr:row>61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f7d478248e48c9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7</xdr:col>
      <xdr:colOff>0</xdr:colOff>
      <xdr:row>44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b9c9aa6d5341a2"/>
        </a:graphicData>
      </a:graphic>
    </xdr:graphicFrame>
    <xdr:clientData/>
  </xdr:twoCellAnchor>
  <xdr:twoCellAnchor>
    <xdr:from>
      <xdr:col>8</xdr:col>
      <xdr:colOff>0</xdr:colOff>
      <xdr:row>30</xdr:row>
      <xdr:rowOff>0</xdr:rowOff>
    </xdr:from>
    <xdr:to>
      <xdr:col>15</xdr:col>
      <xdr:colOff>0</xdr:colOff>
      <xdr:row>44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64892be04d4b5e"/>
        </a:graphicData>
      </a:graphic>
    </xdr:graphicFrame>
    <xdr:clientData/>
  </xdr:twoCellAnchor>
  <xdr:twoCellAnchor>
    <xdr:from>
      <xdr:col>0</xdr:col>
      <xdr:colOff>0</xdr:colOff>
      <xdr:row>47</xdr:row>
      <xdr:rowOff>1</xdr:rowOff>
    </xdr:from>
    <xdr:to>
      <xdr:col>7</xdr:col>
      <xdr:colOff>1</xdr:colOff>
      <xdr:row>61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5050494443438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dd2de5eefc945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bf0d10c8b27e4f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88671875" defaultRowHeight="14.399999618530273"/>
  <x:cols>
    <x:col min="2" max="2" width="8.88671875" customWidth="1"/>
  </x:cols>
  <x:sheetData>
    <x:row r="1" ht="21" customHeight="1">
      <x:c r="A1" s="84" t="n">
        <x:f>_PDF_DATA!C2</x:f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</x:row>
    <x:row r="2">
      <x:c r="A2" s="85" t="str">
        <x:f>IF(_PDF_DATA!C3="","Weekly Research Memo | As of: [As of Date] | Data: FRED | Tool: Python, Excel | Frequency: Weekly",_PDF_DATA!C3)</x:f>
        <x:v>Weekly Research Memo | As of: [As of Date] | Data: FRED | Tool: Python, Excel | Frequency: Weekly</x:v>
      </x:c>
      <x:c r="B2" s="78"/>
      <x:c r="C2" s="78"/>
      <x:c r="D2" s="78"/>
      <x:c r="E2" s="78"/>
      <x:c r="F2" s="78"/>
      <x:c r="G2" s="78"/>
      <x:c r="H2" s="78"/>
      <x:c r="I2" s="78"/>
      <x:c r="J2" s="78"/>
      <x:c r="K2" s="78"/>
    </x:row>
    <x:row r="4">
      <x:c r="A4" s="82" t="s">
        <x:v>0</x:v>
      </x:c>
      <x:c r="B4" s="83"/>
      <x:c r="C4" s="83"/>
      <x:c r="D4" s="83"/>
      <x:c r="E4" s="83"/>
      <x:c r="F4" s="83"/>
      <x:c r="G4" s="83"/>
      <x:c r="H4" s="83"/>
      <x:c r="I4" s="83"/>
      <x:c r="J4" s="83"/>
      <x:c r="K4" s="83"/>
    </x:row>
    <x:row r="5">
      <x:c r="A5" s="81" t="str">
        <x:f>IF(_PDF_DATA!R15="","",_PDF_DATA!R15)</x:f>
      </x:c>
      <x:c r="B5" s="78"/>
      <x:c r="C5" s="81" t="str">
        <x:f>IF(_PDF_DATA!S15="","",_PDF_DATA!S15)</x:f>
      </x:c>
      <x:c r="D5" s="78"/>
      <x:c r="E5" s="78"/>
      <x:c r="F5" s="78"/>
      <x:c r="G5" s="78"/>
      <x:c r="H5" s="78"/>
      <x:c r="I5" s="78"/>
      <x:c r="J5" s="78"/>
      <x:c r="K5" s="78"/>
    </x:row>
    <x:row r="6">
      <x:c r="A6" s="81" t="str">
        <x:f>IF(_PDF_DATA!R16="","",_PDF_DATA!R16)</x:f>
      </x:c>
      <x:c r="B6" s="78"/>
      <x:c r="C6" s="81" t="str">
        <x:f>IF(_PDF_DATA!S16="","",_PDF_DATA!S16)</x:f>
      </x:c>
      <x:c r="D6" s="78"/>
      <x:c r="E6" s="78"/>
      <x:c r="F6" s="78"/>
      <x:c r="G6" s="78"/>
      <x:c r="H6" s="78"/>
      <x:c r="I6" s="78"/>
      <x:c r="J6" s="78"/>
      <x:c r="K6" s="78"/>
    </x:row>
    <x:row r="7">
      <x:c r="A7" s="81" t="str">
        <x:f>IF(_PDF_DATA!R17="","",_PDF_DATA!R17)</x:f>
      </x:c>
      <x:c r="B7" s="78"/>
      <x:c r="C7" s="81" t="str">
        <x:f>IF(_PDF_DATA!S17="","",_PDF_DATA!S17)</x:f>
      </x:c>
      <x:c r="D7" s="78"/>
      <x:c r="E7" s="78"/>
      <x:c r="F7" s="78"/>
      <x:c r="G7" s="78"/>
      <x:c r="H7" s="78"/>
      <x:c r="I7" s="78"/>
      <x:c r="J7" s="78"/>
      <x:c r="K7" s="78"/>
    </x:row>
    <x:row r="8">
      <x:c r="A8" s="81" t="str">
        <x:f>IF(_PDF_DATA!R18="","",_PDF_DATA!R18)</x:f>
      </x:c>
      <x:c r="B8" s="78"/>
      <x:c r="C8" s="81" t="str">
        <x:f>IF(_PDF_DATA!S18="","",_PDF_DATA!S18)</x:f>
      </x:c>
      <x:c r="D8" s="78"/>
      <x:c r="E8" s="78"/>
      <x:c r="F8" s="78"/>
      <x:c r="G8" s="78"/>
      <x:c r="H8" s="78"/>
      <x:c r="I8" s="78"/>
      <x:c r="J8" s="78"/>
      <x:c r="K8" s="78"/>
    </x:row>
    <x:row r="9">
      <x:c r="A9" s="81" t="str">
        <x:f>IF(_PDF_DATA!R19="","",_PDF_DATA!R19)</x:f>
      </x:c>
      <x:c r="B9" s="78"/>
      <x:c r="C9" s="81" t="str">
        <x:f>IF(_PDF_DATA!S19="","",_PDF_DATA!S19)</x:f>
      </x:c>
      <x:c r="D9" s="78"/>
      <x:c r="E9" s="78"/>
      <x:c r="F9" s="78"/>
      <x:c r="G9" s="78"/>
      <x:c r="H9" s="78"/>
      <x:c r="I9" s="78"/>
      <x:c r="J9" s="78"/>
      <x:c r="K9" s="78"/>
    </x:row>
    <x:row r="11">
      <x:c r="A11" s="57" t="s">
        <x:v>1</x:v>
      </x:c>
      <x:c r="B11" s="50"/>
      <x:c r="C11" s="50"/>
      <x:c r="D11" s="50"/>
      <x:c r="E11" s="50"/>
      <x:c r="F11" s="21"/>
      <x:c r="G11" s="48" t="s">
        <x:v>2</x:v>
      </x:c>
      <x:c r="H11" s="83"/>
      <x:c r="I11" s="83"/>
      <x:c r="J11" s="83"/>
      <x:c r="K11" s="83"/>
    </x:row>
    <x:row r="12">
      <x:c r="A12" s="54" t="s">
        <x:v>3</x:v>
      </x:c>
      <x:c r="B12" s="50"/>
      <x:c r="C12" s="60" t="str">
        <x:f>IF(_PDF_DATA!C5="","",_PDF_DATA!C5)</x:f>
      </x:c>
      <x:c r="D12" s="50"/>
      <x:c r="E12" s="50"/>
      <x:c r="F12" s="21"/>
      <x:c r="G12" s="86" t="s">
        <x:v>4</x:v>
      </x:c>
      <x:c r="H12" s="83"/>
      <x:c r="I12" s="86" t="s">
        <x:v>5</x:v>
      </x:c>
      <x:c r="J12" s="83"/>
      <x:c r="K12" s="87" t="s">
        <x:v>6</x:v>
      </x:c>
    </x:row>
    <x:row r="13">
      <x:c r="A13" s="55" t="s">
        <x:v>7</x:v>
      </x:c>
      <x:c r="B13" s="50"/>
      <x:c r="C13" s="56" t="str">
        <x:f>IF(_PDF_DATA!C6="","",_PDF_DATA!C6&amp;" of 4")</x:f>
      </x:c>
      <x:c r="D13" s="50"/>
      <x:c r="E13" s="50"/>
      <x:c r="F13" s="21"/>
      <x:c r="G13" s="88" t="str">
        <x:f>IF(_PDF_DATA!E2="","",_PDF_DATA!E2)</x:f>
      </x:c>
      <x:c r="H13" s="83"/>
      <x:c r="I13" s="88" t="str">
        <x:f>IF(_PDF_DATA!F2="","",_PDF_DATA!F2)</x:f>
      </x:c>
      <x:c r="J13" s="83"/>
      <x:c r="K13" s="89" t="str">
        <x:f>IF(_PDF_DATA!G2="","",_PDF_DATA!G2)</x:f>
      </x:c>
    </x:row>
    <x:row r="14">
      <x:c r="A14" s="54" t="s">
        <x:v>8</x:v>
      </x:c>
      <x:c r="B14" s="50"/>
      <x:c r="C14" s="56" t="str">
        <x:f>IF(_PDF_DATA!C7="","",_PDF_DATA!C7)</x:f>
      </x:c>
      <x:c r="D14" s="50"/>
      <x:c r="E14" s="50"/>
      <x:c r="F14" s="21"/>
      <x:c r="G14" s="88" t="str">
        <x:f>IF(_PDF_DATA!E3="","",_PDF_DATA!E3)</x:f>
      </x:c>
      <x:c r="H14" s="83"/>
      <x:c r="I14" s="88" t="str">
        <x:f>IF(_PDF_DATA!F3="","",_PDF_DATA!F3)</x:f>
      </x:c>
      <x:c r="J14" s="83"/>
      <x:c r="K14" s="89" t="str">
        <x:f>IF(_PDF_DATA!G3="","",_PDF_DATA!G3)</x:f>
      </x:c>
    </x:row>
    <x:row r="15">
      <x:c r="A15" s="54" t="s">
        <x:v>9</x:v>
      </x:c>
      <x:c r="B15" s="50"/>
      <x:c r="C15" s="56" t="str">
        <x:f>IF(_PDF_DATA!C16="","",_PDF_DATA!C16)</x:f>
      </x:c>
      <x:c r="D15" s="50"/>
      <x:c r="E15" s="50"/>
      <x:c r="F15" s="21"/>
      <x:c r="G15" s="88" t="str">
        <x:f>IF(_PDF_DATA!E4="","",_PDF_DATA!E4)</x:f>
      </x:c>
      <x:c r="H15" s="83"/>
      <x:c r="I15" s="88" t="str">
        <x:f>IF(_PDF_DATA!F4="","",_PDF_DATA!F4)</x:f>
      </x:c>
      <x:c r="J15" s="83"/>
      <x:c r="K15" s="89" t="str">
        <x:f>IF(_PDF_DATA!G4="","",_PDF_DATA!G4)</x:f>
      </x:c>
    </x:row>
    <x:row r="16">
      <x:c r="A16" s="54" t="s">
        <x:v>10</x:v>
      </x:c>
      <x:c r="B16" s="50"/>
      <x:c r="C16" s="59" t="str">
        <x:f>IF(_PDF_DATA!C10="","",_PDF_DATA!C10)</x:f>
      </x:c>
      <x:c r="D16" s="50"/>
      <x:c r="E16" s="50"/>
      <x:c r="F16" s="21"/>
      <x:c r="G16" s="88" t="str">
        <x:f>IF(_PDF_DATA!E5="","",_PDF_DATA!E5)</x:f>
      </x:c>
      <x:c r="H16" s="83"/>
      <x:c r="I16" s="88" t="str">
        <x:f>IF(_PDF_DATA!F5="","",_PDF_DATA!F5)</x:f>
      </x:c>
      <x:c r="J16" s="83"/>
      <x:c r="K16" s="89" t="str">
        <x:f>IF(_PDF_DATA!G5="","",_PDF_DATA!G5)</x:f>
      </x:c>
    </x:row>
    <x:row r="17">
      <x:c r="A17" s="54" t="s">
        <x:v>11</x:v>
      </x:c>
      <x:c r="B17" s="50"/>
      <x:c r="C17" s="56" t="str">
        <x:f>IF(_PDF_DATA!C11="","",_PDF_DATA!C11)</x:f>
      </x:c>
      <x:c r="D17" s="50"/>
      <x:c r="E17" s="50"/>
      <x:c r="F17" s="21"/>
      <x:c r="G17" s="61" t="str">
        <x:f>IF(_PDF_DATA!G6="","","Note: "&amp;_PDF_DATA!G6)</x:f>
      </x:c>
      <x:c r="H17" s="83"/>
      <x:c r="I17" s="83"/>
      <x:c r="J17" s="83"/>
      <x:c r="K17" s="83"/>
    </x:row>
    <x:row r="18">
      <x:c r="A18" s="54" t="s">
        <x:v>12</x:v>
      </x:c>
      <x:c r="B18" s="50"/>
      <x:c r="C18" s="59" t="str">
        <x:f>IF(_PDF_DATA!C12="","",_PDF_DATA!C12)</x:f>
      </x:c>
      <x:c r="D18" s="50"/>
      <x:c r="E18" s="50"/>
      <x:c r="F18" s="21"/>
      <x:c r="G18" s="83"/>
      <x:c r="H18" s="83"/>
      <x:c r="I18" s="83"/>
      <x:c r="J18" s="83"/>
      <x:c r="K18" s="83"/>
    </x:row>
    <x:row r="19">
      <x:c r="A19" s="54" t="s">
        <x:v>13</x:v>
      </x:c>
      <x:c r="B19" s="50"/>
      <x:c r="C19" s="59" t="str">
        <x:f>IF(_PDF_DATA!C14="","",_PDF_DATA!C14)</x:f>
      </x:c>
      <x:c r="D19" s="50"/>
      <x:c r="E19" s="50"/>
      <x:c r="F19" s="21"/>
      <x:c r="G19" s="83"/>
      <x:c r="H19" s="83"/>
      <x:c r="I19" s="83"/>
      <x:c r="J19" s="83"/>
      <x:c r="K19" s="83"/>
    </x:row>
    <x:row r="20">
      <x:c r="A20" s="72" t="s">
        <x:v>14</x:v>
      </x:c>
      <x:c r="B20" s="77"/>
      <x:c r="C20" s="77"/>
      <x:c r="D20" s="77"/>
      <x:c r="E20" s="77"/>
      <x:c r="F20" s="77"/>
      <x:c r="G20" s="77"/>
      <x:c r="H20" s="77"/>
      <x:c r="I20" s="77"/>
      <x:c r="J20" s="77"/>
      <x:c r="K20" s="77"/>
    </x:row>
    <x:row r="21">
      <x:c r="A21" s="79" t="s">
        <x:v>15</x:v>
      </x:c>
      <x:c r="B21" s="80"/>
      <x:c r="C21" s="80"/>
      <x:c r="D21" s="80"/>
      <x:c r="E21" s="80"/>
      <x:c r="F21" s="80"/>
      <x:c r="G21" s="80"/>
      <x:c r="H21" s="80"/>
      <x:c r="I21" s="80"/>
      <x:c r="J21" s="80"/>
      <x:c r="K21" s="80"/>
    </x:row>
    <x:row r="22" ht="14.399999618530273" customHeight="1"/>
    <x:row r="23">
      <x:c r="A23" s="82" t="s">
        <x:v>16</x:v>
      </x:c>
      <x:c r="B23" s="90"/>
      <x:c r="C23" s="90"/>
      <x:c r="D23" s="90"/>
      <x:c r="E23" s="90"/>
      <x:c r="F23" s="90"/>
      <x:c r="G23" s="90"/>
      <x:c r="H23" s="90"/>
      <x:c r="I23" s="90"/>
      <x:c r="J23" s="90"/>
      <x:c r="K23" s="91"/>
    </x:row>
    <x:row r="24">
      <x:c r="A24" s="81" t="str">
        <x:f>IF(_PDF_DATA!R21="","",_PDF_DATA!R21)</x:f>
      </x:c>
      <x:c r="B24" s="78"/>
      <x:c r="C24" s="81" t="str">
        <x:f>IF(_PDF_DATA!S21="","",_PDF_DATA!S21)</x:f>
      </x:c>
      <x:c r="D24" s="78"/>
      <x:c r="E24" s="78"/>
      <x:c r="F24" s="78"/>
      <x:c r="G24" s="78"/>
      <x:c r="H24" s="78"/>
      <x:c r="I24" s="78"/>
      <x:c r="J24" s="78"/>
      <x:c r="K24" s="78"/>
    </x:row>
    <x:row r="25">
      <x:c r="A25" s="81" t="str">
        <x:f>IF(_PDF_DATA!R22="","",_PDF_DATA!R22)</x:f>
      </x:c>
      <x:c r="B25" s="78"/>
      <x:c r="C25" s="81" t="str">
        <x:f>IF(_PDF_DATA!S22="","",_PDF_DATA!S22)</x:f>
      </x:c>
      <x:c r="D25" s="78"/>
      <x:c r="E25" s="78"/>
      <x:c r="F25" s="78"/>
      <x:c r="G25" s="78"/>
      <x:c r="H25" s="78"/>
      <x:c r="I25" s="78"/>
      <x:c r="J25" s="78"/>
      <x:c r="K25" s="78"/>
    </x:row>
    <x:row r="26">
      <x:c r="A26" s="81" t="str">
        <x:f>IF(_PDF_DATA!R23="","",_PDF_DATA!R23)</x:f>
      </x:c>
      <x:c r="B26" s="78"/>
      <x:c r="C26" s="81" t="str">
        <x:f>IF(_PDF_DATA!S23="","",_PDF_DATA!S23)</x:f>
      </x:c>
      <x:c r="D26" s="78"/>
      <x:c r="E26" s="78"/>
      <x:c r="F26" s="78"/>
      <x:c r="G26" s="78"/>
      <x:c r="H26" s="78"/>
      <x:c r="I26" s="78"/>
      <x:c r="J26" s="78"/>
      <x:c r="K26" s="78"/>
    </x:row>
    <x:row r="27">
      <x:c r="A27" s="81" t="str">
        <x:f>IF(_PDF_DATA!R24="","",_PDF_DATA!R24)</x:f>
      </x:c>
      <x:c r="B27" s="78"/>
      <x:c r="C27" s="81" t="str">
        <x:f>IF(_PDF_DATA!S24="","",_PDF_DATA!S24)</x:f>
      </x:c>
      <x:c r="D27" s="78"/>
      <x:c r="E27" s="78"/>
      <x:c r="F27" s="78"/>
      <x:c r="G27" s="78"/>
      <x:c r="H27" s="78"/>
      <x:c r="I27" s="78"/>
      <x:c r="J27" s="78"/>
      <x:c r="K27" s="78"/>
    </x:row>
    <x:row r="29">
      <x:c r="A29" s="82" t="s">
        <x:v>17</x:v>
      </x:c>
      <x:c r="B29" s="83"/>
      <x:c r="C29" s="83"/>
      <x:c r="D29" s="83"/>
      <x:c r="E29" s="83"/>
      <x:c r="F29" s="83"/>
      <x:c r="G29" s="83"/>
      <x:c r="H29" s="83"/>
      <x:c r="I29" s="83"/>
      <x:c r="J29" s="83"/>
      <x:c r="K29" s="83"/>
    </x:row>
    <x:row r="30">
      <x:c r="A30" s="81" t="str">
        <x:f>IF(_PDF_DATA!R26="","",_PDF_DATA!R26)</x:f>
      </x:c>
      <x:c r="B30" s="78"/>
      <x:c r="C30" s="81" t="str">
        <x:f>IF(_PDF_DATA!S26="","",_PDF_DATA!S26)</x:f>
      </x:c>
      <x:c r="D30" s="78"/>
      <x:c r="E30" s="78"/>
      <x:c r="F30" s="78"/>
      <x:c r="G30" s="78"/>
      <x:c r="H30" s="78"/>
      <x:c r="I30" s="78"/>
      <x:c r="J30" s="78"/>
      <x:c r="K30" s="78"/>
    </x:row>
    <x:row r="31">
      <x:c r="A31" s="81" t="str">
        <x:f>IF(_PDF_DATA!R27="","",_PDF_DATA!R27)</x:f>
      </x:c>
      <x:c r="B31" s="78"/>
      <x:c r="C31" s="81" t="str">
        <x:f>IF(_PDF_DATA!S27="","",_PDF_DATA!S27)</x:f>
      </x:c>
      <x:c r="D31" s="78"/>
      <x:c r="E31" s="78"/>
      <x:c r="F31" s="78"/>
      <x:c r="G31" s="78"/>
      <x:c r="H31" s="78"/>
      <x:c r="I31" s="78"/>
      <x:c r="J31" s="78"/>
      <x:c r="K31" s="78"/>
    </x:row>
    <x:row r="32">
      <x:c r="A32" s="81" t="str">
        <x:f>IF(_PDF_DATA!R28="","",_PDF_DATA!R28)</x:f>
      </x:c>
      <x:c r="B32" s="78"/>
      <x:c r="C32" s="81" t="str">
        <x:f>IF(_PDF_DATA!S28="","",_PDF_DATA!S28)</x:f>
      </x:c>
      <x:c r="D32" s="78"/>
      <x:c r="E32" s="78"/>
      <x:c r="F32" s="78"/>
      <x:c r="G32" s="78"/>
      <x:c r="H32" s="78"/>
      <x:c r="I32" s="78"/>
      <x:c r="J32" s="78"/>
      <x:c r="K32" s="78"/>
    </x:row>
    <x:row r="33">
      <x:c r="A33" s="81" t="str">
        <x:f>IF(_PDF_DATA!R29="","",_PDF_DATA!R29)</x:f>
      </x:c>
      <x:c r="B33" s="78"/>
      <x:c r="C33" s="81" t="str">
        <x:f>IF(_PDF_DATA!S29="","",_PDF_DATA!S29)</x:f>
      </x:c>
      <x:c r="D33" s="78"/>
      <x:c r="E33" s="78"/>
      <x:c r="F33" s="78"/>
      <x:c r="G33" s="78"/>
      <x:c r="H33" s="78"/>
      <x:c r="I33" s="78"/>
      <x:c r="J33" s="78"/>
      <x:c r="K33" s="78"/>
    </x:row>
    <x:row r="35">
      <x:c r="A35" s="82" t="s">
        <x:v>18</x:v>
      </x:c>
      <x:c r="B35" s="83"/>
      <x:c r="C35" s="83"/>
      <x:c r="D35" s="83"/>
      <x:c r="E35" s="83"/>
      <x:c r="F35" s="83"/>
      <x:c r="G35" s="83"/>
      <x:c r="H35" s="83"/>
      <x:c r="I35" s="83"/>
      <x:c r="J35" s="83"/>
      <x:c r="K35" s="83"/>
    </x:row>
    <x:row r="36">
      <x:c r="A36" s="81" t="str">
        <x:f>IF(_PDF_DATA!R31="","",_PDF_DATA!R31)</x:f>
      </x:c>
      <x:c r="B36" s="78"/>
      <x:c r="C36" s="81" t="str">
        <x:f>IF(_PDF_DATA!S31="","",_PDF_DATA!S31)</x:f>
      </x:c>
      <x:c r="D36" s="78"/>
      <x:c r="E36" s="78"/>
      <x:c r="F36" s="78"/>
      <x:c r="G36" s="78"/>
      <x:c r="H36" s="78"/>
      <x:c r="I36" s="78"/>
      <x:c r="J36" s="78"/>
      <x:c r="K36" s="78"/>
    </x:row>
    <x:row r="37" ht="14.399999618530273" customHeight="1">
      <x:c r="A37" s="81" t="str">
        <x:f>IF(_PDF_DATA!R32="","",_PDF_DATA!R32)</x:f>
      </x:c>
      <x:c r="B37" s="78"/>
      <x:c r="C37" s="81" t="str">
        <x:f>IF(_PDF_DATA!S32="","",_PDF_DATA!S32)</x:f>
      </x:c>
      <x:c r="D37" s="78"/>
      <x:c r="E37" s="78"/>
      <x:c r="F37" s="78"/>
      <x:c r="G37" s="78"/>
      <x:c r="H37" s="78"/>
      <x:c r="I37" s="78"/>
      <x:c r="J37" s="78"/>
      <x:c r="K37" s="78"/>
    </x:row>
    <x:row r="38">
      <x:c r="A38" s="81" t="str">
        <x:f>IF(_PDF_DATA!R33="","",_PDF_DATA!R33)</x:f>
      </x:c>
      <x:c r="B38" s="78"/>
      <x:c r="C38" s="92" t="str">
        <x:f>IF(_PDF_DATA!S33="","",_PDF_DATA!S33)</x:f>
      </x:c>
      <x:c r="D38" s="78"/>
      <x:c r="E38" s="78"/>
      <x:c r="F38" s="78"/>
      <x:c r="G38" s="78"/>
      <x:c r="H38" s="78"/>
      <x:c r="I38" s="78"/>
      <x:c r="J38" s="78"/>
      <x:c r="K38" s="78"/>
    </x:row>
    <x:row r="39">
      <x:c r="A39" s="81" t="str">
        <x:f>IF(_PDF_DATA!R34="","",_PDF_DATA!R34)</x:f>
      </x:c>
      <x:c r="B39" s="78"/>
      <x:c r="C39" s="81" t="str">
        <x:f>IF(_PDF_DATA!S34="","",_PDF_DATA!S34)</x:f>
      </x:c>
      <x:c r="D39" s="78"/>
      <x:c r="E39" s="78"/>
      <x:c r="F39" s="78"/>
      <x:c r="G39" s="78"/>
      <x:c r="H39" s="78"/>
      <x:c r="I39" s="78"/>
      <x:c r="J39" s="78"/>
      <x:c r="K39" s="78"/>
    </x:row>
    <x:row r="41">
      <x:c r="A41" s="93" t="s">
        <x:v>19</x:v>
      </x:c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</x:row>
    <x:row r="42">
      <x:c r="A42" s="75" t="s">
        <x:v>20</x:v>
      </x:c>
      <x:c r="B42" s="76"/>
      <x:c r="C42" s="76"/>
      <x:c r="D42" s="76"/>
      <x:c r="E42" s="76"/>
      <x:c r="F42" s="76"/>
      <x:c r="G42" s="76"/>
      <x:c r="H42" s="76"/>
      <x:c r="I42" s="76"/>
      <x:c r="J42" s="76"/>
      <x:c r="K42" s="76"/>
    </x:row>
  </x:sheetData>
  <x:mergeCells>
    <x:mergeCell ref="A36:B36"/>
    <x:mergeCell ref="C31:K31"/>
    <x:mergeCell ref="G11:K11"/>
    <x:mergeCell ref="C27:K27"/>
    <x:mergeCell ref="A25:B25"/>
    <x:mergeCell ref="C36:K36"/>
    <x:mergeCell ref="A33:B33"/>
    <x:mergeCell ref="A32:B32"/>
    <x:mergeCell ref="C16:E16"/>
    <x:mergeCell ref="A24:B24"/>
    <x:mergeCell ref="G12:H12"/>
    <x:mergeCell ref="C25:K25"/>
    <x:mergeCell ref="A30:B30"/>
    <x:mergeCell ref="A15:B15"/>
    <x:mergeCell ref="I15:J15"/>
    <x:mergeCell ref="A1:K1"/>
    <x:mergeCell ref="A6:B6"/>
    <x:mergeCell ref="C12:E12"/>
    <x:mergeCell ref="A16:B16"/>
    <x:mergeCell ref="G17:K19"/>
    <x:mergeCell ref="A7:B7"/>
    <x:mergeCell ref="I16:J16"/>
    <x:mergeCell ref="C7:K7"/>
    <x:mergeCell ref="G15:H15"/>
    <x:mergeCell ref="A5:B5"/>
    <x:mergeCell ref="C18:E18"/>
    <x:mergeCell ref="A2:K2"/>
    <x:mergeCell ref="A14:B14"/>
    <x:mergeCell ref="G14:H14"/>
    <x:mergeCell ref="C6:K6"/>
    <x:mergeCell ref="C5:K5"/>
    <x:mergeCell ref="A37:B37"/>
    <x:mergeCell ref="C17:E17"/>
    <x:mergeCell ref="C39:K39"/>
    <x:mergeCell ref="C8:K8"/>
    <x:mergeCell ref="G13:H13"/>
    <x:mergeCell ref="A18:B18"/>
    <x:mergeCell ref="A27:B27"/>
    <x:mergeCell ref="A12:B12"/>
    <x:mergeCell ref="C32:K32"/>
    <x:mergeCell ref="C38:K38"/>
    <x:mergeCell ref="A26:B26"/>
    <x:mergeCell ref="I12:J12"/>
    <x:mergeCell ref="C19:E19"/>
    <x:mergeCell ref="A21:K21"/>
    <x:mergeCell ref="C13:E13"/>
    <x:mergeCell ref="C37:K37"/>
    <x:mergeCell ref="A42:K42"/>
    <x:mergeCell ref="I14:J14"/>
    <x:mergeCell ref="A17:B17"/>
    <x:mergeCell ref="A8:B8"/>
    <x:mergeCell ref="C15:E15"/>
    <x:mergeCell ref="A23:K23"/>
    <x:mergeCell ref="C24:K24"/>
    <x:mergeCell ref="C30:K30"/>
    <x:mergeCell ref="A38:B38"/>
    <x:mergeCell ref="A35:K35"/>
    <x:mergeCell ref="C14:E14"/>
    <x:mergeCell ref="C33:K33"/>
    <x:mergeCell ref="A20:K20"/>
    <x:mergeCell ref="G16:H16"/>
    <x:mergeCell ref="A31:B31"/>
    <x:mergeCell ref="A39:B39"/>
    <x:mergeCell ref="A4:K4"/>
    <x:mergeCell ref="A19:B19"/>
    <x:mergeCell ref="A29:K29"/>
    <x:mergeCell ref="A13:B13"/>
    <x:mergeCell ref="C26:K26"/>
    <x:mergeCell ref="I13:J13"/>
    <x:mergeCell ref="A9:B9"/>
    <x:mergeCell ref="A11:E11"/>
    <x:mergeCell ref="C9:K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399999618530273"/>
  <x:cols>
    <x:col min="3" max="3" width="8.88671875" customWidth="1"/>
    <x:col min="11" max="12" width="8.88671875" customWidth="1"/>
  </x:cols>
  <x:sheetData>
    <x:row r="1" ht="25.799999237060547" customHeight="1">
      <x:c r="A1" s="84" t="n">
        <x:f>_PDF_DATA!C2</x:f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</x:row>
    <x:row r="2">
      <x:c r="A2" s="85" t="s">
        <x:v>21</x:v>
      </x:c>
      <x:c r="B2" s="78"/>
      <x:c r="C2" s="78"/>
      <x:c r="D2" s="78"/>
      <x:c r="E2" s="78"/>
      <x:c r="F2" s="78"/>
      <x:c r="G2" s="78"/>
      <x:c r="H2" s="78"/>
      <x:c r="I2" s="78"/>
      <x:c r="J2" s="78"/>
      <x:c r="K2" s="78"/>
    </x:row>
    <x:row r="4">
      <x:c r="A4" s="48" t="s">
        <x:v>22</x:v>
      </x:c>
      <x:c r="B4" s="83"/>
      <x:c r="C4" s="83"/>
      <x:c r="D4" s="83"/>
      <x:c r="E4" s="83"/>
      <x:c r="F4" s="83"/>
      <x:c r="G4" s="83"/>
      <x:c r="H4" s="83"/>
      <x:c r="I4" s="83"/>
      <x:c r="J4" s="83"/>
      <x:c r="K4" s="83"/>
    </x:row>
    <x:row r="5">
      <x:c r="A5" s="52" t="str">
        <x:f>IF(_PDF_DATA!U1="","",_PDF_DATA!U1)</x:f>
      </x:c>
      <x:c r="B5" s="83"/>
      <x:c r="C5" s="52" t="str">
        <x:f>IF(_PDF_DATA!V1="","",_PDF_DATA!V1)</x:f>
      </x:c>
      <x:c r="D5" s="83"/>
      <x:c r="E5" s="52" t="str">
        <x:f>IF(_PDF_DATA!W1="","",_PDF_DATA!W1)</x:f>
      </x:c>
      <x:c r="F5" s="83"/>
      <x:c r="G5" s="27" t="str">
        <x:f>IF(_PDF_DATA!X1="","",_PDF_DATA!X1)</x:f>
      </x:c>
      <x:c r="H5" s="27" t="str">
        <x:f>IF(_PDF_DATA!Y1="","",_PDF_DATA!Y1)</x:f>
      </x:c>
      <x:c r="I5" s="52" t="str">
        <x:f>IF(_PDF_DATA!Z1="","",_PDF_DATA!Z1)</x:f>
      </x:c>
      <x:c r="J5" s="83"/>
      <x:c r="K5" s="83"/>
    </x:row>
    <x:row r="6">
      <x:c r="A6" s="43" t="str">
        <x:f>IF(_PDF_DATA!U2="","",_PDF_DATA!U2)</x:f>
      </x:c>
      <x:c r="B6" s="91"/>
      <x:c r="C6" s="43" t="str">
        <x:f>IF(_PDF_DATA!V2="","",_PDF_DATA!V2)</x:f>
      </x:c>
      <x:c r="D6" s="91"/>
      <x:c r="E6" s="43" t="str">
        <x:f>IF(_PDF_DATA!W2="","",_PDF_DATA!W2)</x:f>
      </x:c>
      <x:c r="F6" s="91"/>
      <x:c r="G6" s="29" t="str">
        <x:f>IF(_PDF_DATA!X2="","",_PDF_DATA!X2)</x:f>
      </x:c>
      <x:c r="H6" s="29" t="str">
        <x:f>IF(_PDF_DATA!Y2="","",_PDF_DATA!Y2)</x:f>
      </x:c>
      <x:c r="I6" s="43" t="str">
        <x:f>IF(_PDF_DATA!Z2="","",_PDF_DATA!Z2)</x:f>
      </x:c>
      <x:c r="J6" s="90"/>
      <x:c r="K6" s="91"/>
    </x:row>
    <x:row r="7">
      <x:c r="A7" s="43" t="str">
        <x:f>IF(_PDF_DATA!U3="","",_PDF_DATA!U3)</x:f>
      </x:c>
      <x:c r="B7" s="91"/>
      <x:c r="C7" s="43" t="str">
        <x:f>IF(_PDF_DATA!V3="","",_PDF_DATA!V3)</x:f>
      </x:c>
      <x:c r="D7" s="91"/>
      <x:c r="E7" s="43" t="str">
        <x:f>IF(_PDF_DATA!W3="","",_PDF_DATA!W3)</x:f>
      </x:c>
      <x:c r="F7" s="91"/>
      <x:c r="G7" s="29" t="str">
        <x:f>IF(_PDF_DATA!X3="","",_PDF_DATA!X3)</x:f>
      </x:c>
      <x:c r="H7" s="29" t="str">
        <x:f>IF(_PDF_DATA!Y3="","",_PDF_DATA!Y3)</x:f>
      </x:c>
      <x:c r="I7" s="43" t="str">
        <x:f>IF(_PDF_DATA!Z3="","",_PDF_DATA!Z3)</x:f>
      </x:c>
      <x:c r="J7" s="90"/>
      <x:c r="K7" s="91"/>
    </x:row>
    <x:row r="8">
      <x:c r="A8" s="43" t="str">
        <x:f>IF(_PDF_DATA!U4="","",_PDF_DATA!U4)</x:f>
      </x:c>
      <x:c r="B8" s="91"/>
      <x:c r="C8" s="43" t="str">
        <x:f>IF(_PDF_DATA!V4="","",_PDF_DATA!V4)</x:f>
      </x:c>
      <x:c r="D8" s="91"/>
      <x:c r="E8" s="43" t="str">
        <x:f>IF(_PDF_DATA!W4="","",_PDF_DATA!W4)</x:f>
      </x:c>
      <x:c r="F8" s="91"/>
      <x:c r="G8" s="29" t="str">
        <x:f>IF(_PDF_DATA!X4="","",_PDF_DATA!X4)</x:f>
      </x:c>
      <x:c r="H8" s="29" t="str">
        <x:f>IF(_PDF_DATA!Y4="","",_PDF_DATA!Y4)</x:f>
      </x:c>
      <x:c r="I8" s="43" t="str">
        <x:f>IF(_PDF_DATA!Z4="","",_PDF_DATA!Z4)</x:f>
      </x:c>
      <x:c r="J8" s="90"/>
      <x:c r="K8" s="91"/>
    </x:row>
    <x:row r="9">
      <x:c r="A9" s="43" t="str">
        <x:f>IF(_PDF_DATA!U5="","",_PDF_DATA!U5)</x:f>
      </x:c>
      <x:c r="B9" s="91"/>
      <x:c r="C9" s="43" t="str">
        <x:f>IF(_PDF_DATA!V5="","",_PDF_DATA!V5)</x:f>
      </x:c>
      <x:c r="D9" s="91"/>
      <x:c r="E9" s="43" t="str">
        <x:f>IF(_PDF_DATA!W5="","",_PDF_DATA!W5)</x:f>
      </x:c>
      <x:c r="F9" s="91"/>
      <x:c r="G9" s="29" t="str">
        <x:f>IF(_PDF_DATA!X5="","",_PDF_DATA!X5)</x:f>
      </x:c>
      <x:c r="H9" s="29" t="str">
        <x:f>IF(_PDF_DATA!Y5="","",_PDF_DATA!Y5)</x:f>
      </x:c>
      <x:c r="I9" s="43" t="str">
        <x:f>IF(_PDF_DATA!Z5="","",_PDF_DATA!Z5)</x:f>
      </x:c>
      <x:c r="J9" s="90"/>
      <x:c r="K9" s="91"/>
    </x:row>
    <x:row r="10">
      <x:c r="A10" s="43" t="str">
        <x:f>IF(_PDF_DATA!U6="","",_PDF_DATA!U6)</x:f>
      </x:c>
      <x:c r="B10" s="94"/>
      <x:c r="C10" s="43" t="str">
        <x:f>IF(_PDF_DATA!V6="","",_PDF_DATA!V6)</x:f>
      </x:c>
      <x:c r="D10" s="94"/>
      <x:c r="E10" s="43" t="str">
        <x:f>IF(_PDF_DATA!W6="","",_PDF_DATA!W6)</x:f>
      </x:c>
      <x:c r="F10" s="94"/>
      <x:c r="G10" s="46" t="str">
        <x:f>IF(_PDF_DATA!X6="","",_PDF_DATA!X6)</x:f>
      </x:c>
      <x:c r="H10" s="46" t="str">
        <x:f>IF(_PDF_DATA!Y6="","",_PDF_DATA!Y6)</x:f>
      </x:c>
      <x:c r="I10" s="46" t="str">
        <x:f>IF(_PDF_DATA!Z6="","",_PDF_DATA!Z6)</x:f>
      </x:c>
      <x:c r="J10" s="95"/>
      <x:c r="K10" s="94"/>
    </x:row>
    <x:row r="11">
      <x:c r="A11" s="96"/>
      <x:c r="B11" s="97"/>
      <x:c r="C11" s="96"/>
      <x:c r="D11" s="97"/>
      <x:c r="E11" s="96"/>
      <x:c r="F11" s="97"/>
      <x:c r="G11" s="98"/>
      <x:c r="H11" s="98"/>
      <x:c r="I11" s="96"/>
      <x:c r="J11" s="99"/>
      <x:c r="K11" s="97"/>
    </x:row>
    <x:row r="12">
      <x:c r="A12" s="46" t="str">
        <x:f>IF(_PDF_DATA!U7="","",_PDF_DATA!U7)</x:f>
      </x:c>
      <x:c r="B12" s="94"/>
      <x:c r="C12" s="46" t="str">
        <x:f>IF(_PDF_DATA!V7="","",_PDF_DATA!V7)</x:f>
      </x:c>
      <x:c r="D12" s="94"/>
      <x:c r="E12" s="46" t="str">
        <x:f>IF(_PDF_DATA!W7="","",_PDF_DATA!W7)</x:f>
      </x:c>
      <x:c r="F12" s="94"/>
      <x:c r="G12" s="46" t="str">
        <x:f>IF(_PDF_DATA!X7="","",_PDF_DATA!X7)</x:f>
      </x:c>
      <x:c r="H12" s="46" t="str">
        <x:f>IF(_PDF_DATA!Y7="","",_PDF_DATA!Y7)</x:f>
      </x:c>
      <x:c r="I12" s="46" t="str">
        <x:f>IF(_PDF_DATA!Z7="","",_PDF_DATA!Z7)</x:f>
      </x:c>
      <x:c r="J12" s="95"/>
      <x:c r="K12" s="94"/>
    </x:row>
    <x:row r="13">
      <x:c r="A13" s="96"/>
      <x:c r="B13" s="97"/>
      <x:c r="C13" s="96"/>
      <x:c r="D13" s="97"/>
      <x:c r="E13" s="96"/>
      <x:c r="F13" s="97"/>
      <x:c r="G13" s="98"/>
      <x:c r="H13" s="98"/>
      <x:c r="I13" s="96"/>
      <x:c r="J13" s="99"/>
      <x:c r="K13" s="97"/>
    </x:row>
    <x:row r="14">
      <x:c r="A14" s="46" t="str">
        <x:f>IF(_PDF_DATA!U8="","",_PDF_DATA!U8)</x:f>
      </x:c>
      <x:c r="B14" s="94"/>
      <x:c r="C14" s="46" t="str">
        <x:f>IF(_PDF_DATA!V8="","",_PDF_DATA!V8)</x:f>
      </x:c>
      <x:c r="D14" s="94"/>
      <x:c r="E14" s="46" t="str">
        <x:f>IF(_PDF_DATA!W8="","",_PDF_DATA!W8)</x:f>
      </x:c>
      <x:c r="F14" s="94"/>
      <x:c r="G14" s="46" t="str">
        <x:f>IF(_PDF_DATA!X8="","",_PDF_DATA!X8)</x:f>
      </x:c>
      <x:c r="H14" s="46" t="str">
        <x:f>IF(_PDF_DATA!Y8="","",_PDF_DATA!Y8)</x:f>
      </x:c>
      <x:c r="I14" s="46" t="str">
        <x:f>IF(_PDF_DATA!Z8="","",_PDF_DATA!Z8)</x:f>
      </x:c>
      <x:c r="J14" s="95"/>
      <x:c r="K14" s="94"/>
    </x:row>
    <x:row r="15">
      <x:c r="A15" s="96"/>
      <x:c r="B15" s="97"/>
      <x:c r="C15" s="96"/>
      <x:c r="D15" s="97"/>
      <x:c r="E15" s="96"/>
      <x:c r="F15" s="97"/>
      <x:c r="G15" s="98"/>
      <x:c r="H15" s="98"/>
      <x:c r="I15" s="96"/>
      <x:c r="J15" s="99"/>
      <x:c r="K15" s="97"/>
    </x:row>
    <x:row r="16">
      <x:c r="A16" s="71" t="s">
        <x:v>23</x:v>
      </x:c>
      <x:c r="B16" s="74"/>
      <x:c r="C16" s="74"/>
      <x:c r="D16" s="74"/>
      <x:c r="E16" s="74"/>
      <x:c r="F16" s="74"/>
      <x:c r="G16" s="53" t="s">
        <x:v>24</x:v>
      </x:c>
      <x:c r="H16" s="49"/>
      <x:c r="I16" s="49"/>
      <x:c r="J16" s="49"/>
      <x:c r="K16" s="49"/>
    </x:row>
    <x:row r="18">
      <x:c r="A18" s="82" t="s">
        <x:v>25</x:v>
      </x:c>
      <x:c r="B18" s="83"/>
      <x:c r="C18" s="83"/>
      <x:c r="D18" s="83"/>
      <x:c r="E18" s="83"/>
      <x:c r="F18" s="100"/>
      <x:c r="G18" s="82" t="s">
        <x:v>26</x:v>
      </x:c>
      <x:c r="H18" s="83"/>
      <x:c r="I18" s="83"/>
      <x:c r="J18" s="83"/>
      <x:c r="K18" s="83"/>
    </x:row>
    <x:row r="30">
      <x:c r="A30" s="48" t="s">
        <x:v>27</x:v>
      </x:c>
      <x:c r="B30" s="48"/>
      <x:c r="C30" s="48"/>
      <x:c r="D30" s="48"/>
      <x:c r="E30" s="48"/>
      <x:c r="G30" s="48" t="s">
        <x:v>28</x:v>
      </x:c>
      <x:c r="H30" s="48"/>
      <x:c r="I30" s="48"/>
      <x:c r="J30" s="48"/>
      <x:c r="K30" s="48"/>
    </x:row>
    <x:row r="31">
      <x:c r="A31" s="27" t="str">
        <x:f>IF(_PDF_DATA!U12="","",_PDF_DATA!U12)</x:f>
      </x:c>
      <x:c r="B31" s="52" t="str">
        <x:f>IF(_PDF_DATA!W12="","",_PDF_DATA!W12)</x:f>
      </x:c>
      <x:c r="C31" s="52"/>
      <x:c r="D31" s="52"/>
      <x:c r="E31" s="27" t="str">
        <x:f>"Score"</x:f>
        <x:v>Score</x:v>
      </x:c>
      <x:c r="G31" s="27" t="s">
        <x:v>29</x:v>
      </x:c>
      <x:c r="H31" s="27" t="s">
        <x:v>30</x:v>
      </x:c>
      <x:c r="I31" s="27" t="s">
        <x:v>31</x:v>
      </x:c>
      <x:c r="J31" s="52" t="s">
        <x:v>32</x:v>
      </x:c>
      <x:c r="K31" s="52"/>
    </x:row>
    <x:row r="32">
      <x:c r="A32" s="25" t="str">
        <x:f>IF(_PDF_DATA!U13="","",_PDF_DATA!U13)</x:f>
      </x:c>
      <x:c r="B32" s="42" t="str">
        <x:f>IF(_PDF_DATA!W13="","",_PDF_DATA!W13)</x:f>
      </x:c>
      <x:c r="C32" s="42"/>
      <x:c r="D32" s="42"/>
      <x:c r="E32" s="25" t="str">
        <x:f>"+1"</x:f>
        <x:v>+1</x:v>
      </x:c>
      <x:c r="G32" s="25" t="str">
        <x:f>IF(_PDF_DATA!AB16="","",_PDF_DATA!AB16)</x:f>
      </x:c>
      <x:c r="H32" s="25" t="str">
        <x:f>IF(_PDF_DATA!AB16="","",_PDF_DATA!AB16)</x:f>
      </x:c>
      <x:c r="I32" s="25">
        <x:v>1</x:v>
      </x:c>
      <x:c r="J32" s="41" t="str">
        <x:f>IF(_PDF_DATA!AE16="","",_PDF_DATA!AE16)</x:f>
      </x:c>
      <x:c r="K32" s="41"/>
    </x:row>
    <x:row r="33">
      <x:c r="A33" s="25" t="str">
        <x:f>IF(_PDF_DATA!U14="","",_PDF_DATA!U14)</x:f>
      </x:c>
      <x:c r="B33" s="41" t="str">
        <x:f>IF(_PDF_DATA!W14="","",_PDF_DATA!W14)</x:f>
      </x:c>
      <x:c r="C33" s="41"/>
      <x:c r="D33" s="41"/>
      <x:c r="E33" s="25" t="str">
        <x:f>"+1"</x:f>
        <x:v>+1</x:v>
      </x:c>
      <x:c r="G33" s="25" t="str">
        <x:f>IF(_PDF_DATA!AB17="","",_PDF_DATA!AB17)</x:f>
      </x:c>
      <x:c r="H33" s="25" t="str">
        <x:f>IF(_PDF_DATA!AC17="","",_PDF_DATA!AC17)</x:f>
      </x:c>
      <x:c r="I33" s="25">
        <x:v>2</x:v>
      </x:c>
      <x:c r="J33" s="41" t="str">
        <x:f>IF(_PDF_DATA!AE17="","",_PDF_DATA!AE17)</x:f>
      </x:c>
      <x:c r="K33" s="41"/>
    </x:row>
    <x:row r="34">
      <x:c r="A34" s="25" t="str">
        <x:f>IF(_PDF_DATA!U15="","",_PDF_DATA!U15)</x:f>
      </x:c>
      <x:c r="B34" s="41" t="str">
        <x:f>IF(_PDF_DATA!W15="","",_PDF_DATA!W15)</x:f>
      </x:c>
      <x:c r="C34" s="41"/>
      <x:c r="D34" s="41"/>
      <x:c r="E34" s="25" t="str">
        <x:f>"+1"</x:f>
        <x:v>+1</x:v>
      </x:c>
      <x:c r="G34" s="25" t="str">
        <x:f>IF(_PDF_DATA!AB18="","",_PDF_DATA!AB18)</x:f>
      </x:c>
      <x:c r="H34" s="25" t="str">
        <x:f>IF(_PDF_DATA!AC18="","",_PDF_DATA!AC18)</x:f>
      </x:c>
      <x:c r="I34" s="25">
        <x:v>3</x:v>
      </x:c>
      <x:c r="J34" s="41" t="str">
        <x:f>IF(_PDF_DATA!AE18="","",_PDF_DATA!AE18)</x:f>
      </x:c>
      <x:c r="K34" s="41"/>
    </x:row>
    <x:row r="35">
      <x:c r="A35" s="40" t="str">
        <x:f>IF(_PDF_DATA!U16="","",_PDF_DATA!U16)</x:f>
      </x:c>
      <x:c r="B35" s="41" t="str">
        <x:f>IF(_PDF_DATA!W16="","",_PDF_DATA!W16)</x:f>
      </x:c>
      <x:c r="C35" s="41"/>
      <x:c r="D35" s="41"/>
      <x:c r="E35" s="25" t="str">
        <x:f>"+1"</x:f>
        <x:v>+1</x:v>
      </x:c>
      <x:c r="G35" s="25" t="str">
        <x:f>IF(_PDF_DATA!AB19="","",_PDF_DATA!AB19)</x:f>
      </x:c>
      <x:c r="H35" s="25" t="str">
        <x:f>IF(_PDF_DATA!AC19="","",_PDF_DATA!AC19)</x:f>
      </x:c>
      <x:c r="I35" s="25">
        <x:v>4</x:v>
      </x:c>
      <x:c r="J35" s="42" t="str">
        <x:f>IF(_PDF_DATA!AE19="","",_PDF_DATA!AE19)</x:f>
      </x:c>
      <x:c r="K35" s="42"/>
    </x:row>
    <x:row r="36">
      <x:c r="A36" s="71" t="s">
        <x:v>14</x:v>
      </x:c>
      <x:c r="B36" s="71"/>
      <x:c r="C36" s="71"/>
      <x:c r="D36" s="71"/>
      <x:c r="E36" s="71"/>
      <x:c r="G36" s="24"/>
      <x:c r="H36" s="24"/>
      <x:c r="I36" s="24"/>
    </x:row>
    <x:row r="38">
      <x:c r="A38" s="48" t="s">
        <x:v>33</x:v>
      </x:c>
      <x:c r="B38" s="48"/>
      <x:c r="C38" s="48"/>
      <x:c r="D38" s="48"/>
      <x:c r="E38" s="48"/>
      <x:c r="F38" s="48"/>
      <x:c r="G38" s="48"/>
    </x:row>
    <x:row r="39" ht="14.399999618530273" customHeight="1">
      <x:c r="A39" s="52" t="s">
        <x:v>34</x:v>
      </x:c>
      <x:c r="B39" s="52"/>
      <x:c r="C39" s="52" t="s">
        <x:v>35</x:v>
      </x:c>
      <x:c r="D39" s="52"/>
      <x:c r="E39" s="52"/>
      <x:c r="F39" s="52" t="s">
        <x:v>36</x:v>
      </x:c>
      <x:c r="G39" s="52"/>
    </x:row>
    <x:row r="40" ht="14.399999618530273" customHeight="1">
      <x:c r="A40" s="41" t="str">
        <x:f>IF(_PDF_DATA!AA13="","",_PDF_DATA!AA13)</x:f>
      </x:c>
      <x:c r="B40" s="41"/>
      <x:c r="C40" s="41" t="str">
        <x:f>"P80 level OR positive 4W change"</x:f>
        <x:v>P80 level OR positive 4W change</x:v>
      </x:c>
      <x:c r="D40" s="41"/>
      <x:c r="E40" s="41"/>
      <x:c r="F40" s="41" t="str">
        <x:f>"Rate Pressure"</x:f>
        <x:v>Rate Pressure</x:v>
      </x:c>
      <x:c r="G40" s="41"/>
      <x:c r="I40" s="30"/>
    </x:row>
    <x:row r="41">
      <x:c r="A41" s="41" t="str">
        <x:f>IF(_PDF_DATA!AA14="","",_PDF_DATA!AA14)</x:f>
      </x:c>
      <x:c r="B41" s="41"/>
      <x:c r="C41" s="41" t="str">
        <x:f>"P80 level OR positive 4W change"</x:f>
        <x:v>P80 level OR positive 4W change</x:v>
      </x:c>
      <x:c r="D41" s="41"/>
      <x:c r="E41" s="41"/>
      <x:c r="F41" s="41" t="str">
        <x:f>"Inflation Concern"</x:f>
        <x:v>Inflation Concern</x:v>
      </x:c>
      <x:c r="G41" s="41"/>
    </x:row>
    <x:row r="42">
      <x:c r="A42" s="41" t="str">
        <x:f>IF(_PDF_DATA!AA15="","",_PDF_DATA!AA15)</x:f>
      </x:c>
      <x:c r="B42" s="41"/>
      <x:c r="C42" s="41" t="str">
        <x:f>"P80 level OR positive 4W change"</x:f>
        <x:v>P80 level OR positive 4W change</x:v>
      </x:c>
      <x:c r="D42" s="41"/>
      <x:c r="E42" s="41"/>
      <x:c r="F42" s="41" t="str">
        <x:f>"Portfolio constraint"</x:f>
        <x:v>Portfolio constraint</x:v>
      </x:c>
      <x:c r="G42" s="41"/>
    </x:row>
    <x:row r="44">
      <x:c r="A44" s="48" t="s">
        <x:v>37</x:v>
      </x:c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</x:row>
    <x:row r="45">
      <x:c r="A45" s="52" t="s">
        <x:v>38</x:v>
      </x:c>
      <x:c r="B45" s="52"/>
      <x:c r="C45" s="52"/>
      <x:c r="D45" s="52" t="s">
        <x:v>39</x:v>
      </x:c>
      <x:c r="E45" s="52"/>
      <x:c r="F45" s="52" t="s">
        <x:v>40</x:v>
      </x:c>
      <x:c r="G45" s="52"/>
      <x:c r="H45" s="52" t="s">
        <x:v>41</x:v>
      </x:c>
      <x:c r="I45" s="52"/>
      <x:c r="J45" s="52" t="s">
        <x:v>42</x:v>
      </x:c>
      <x:c r="K45" s="52"/>
    </x:row>
    <x:row r="46">
      <x:c r="A46" s="41" t="str">
        <x:f>IF(_PDF_DATA!AT2="","",_PDF_DATA!AT2)</x:f>
      </x:c>
      <x:c r="B46" s="41"/>
      <x:c r="C46" s="41"/>
      <x:c r="D46" s="41" t="str">
        <x:f>IF(_PDF_DATA!AU2="","",_PDF_DATA!AU2)</x:f>
      </x:c>
      <x:c r="E46" s="41"/>
      <x:c r="F46" s="41" t="str">
        <x:f>IF(_PDF_DATA!AV2="","",_PDF_DATA!AV2)</x:f>
      </x:c>
      <x:c r="G46" s="41"/>
      <x:c r="H46" s="41" t="str">
        <x:f>IF(_PDF_DATA!AW2="","",_PDF_DATA!AW2)</x:f>
      </x:c>
      <x:c r="I46" s="41"/>
      <x:c r="J46" s="41" t="str">
        <x:f>IF(_PDF_DATA!AX2="","",_PDF_DATA!AX2)</x:f>
      </x:c>
      <x:c r="K46" s="41"/>
    </x:row>
    <x:row r="47">
      <x:c r="A47" s="41" t="str">
        <x:f>IF(_PDF_DATA!AT3="","",_PDF_DATA!AT3)</x:f>
      </x:c>
      <x:c r="B47" s="41"/>
      <x:c r="C47" s="41"/>
      <x:c r="D47" s="41" t="str">
        <x:f>IF(_PDF_DATA!AU2="","",_PDF_DATA!AU3)</x:f>
      </x:c>
      <x:c r="E47" s="41"/>
      <x:c r="F47" s="41" t="str">
        <x:f>IF(_PDF_DATA!AV2="","",_PDF_DATA!AV3)</x:f>
      </x:c>
      <x:c r="G47" s="41"/>
      <x:c r="H47" s="41" t="str">
        <x:f>IF(_PDF_DATA!AW2="","",_PDF_DATA!AW3)</x:f>
      </x:c>
      <x:c r="I47" s="41"/>
      <x:c r="J47" s="41" t="str">
        <x:f>IF(_PDF_DATA!AX2="","",_PDF_DATA!AX3)</x:f>
      </x:c>
      <x:c r="K47" s="41"/>
    </x:row>
    <x:row r="48">
      <x:c r="A48" s="41" t="str">
        <x:f>IF(_PDF_DATA!AT4="","",_PDF_DATA!AT4)</x:f>
      </x:c>
      <x:c r="B48" s="41"/>
      <x:c r="C48" s="41"/>
      <x:c r="D48" s="41" t="str">
        <x:f>IF(_PDF_DATA!AU2="","",_PDF_DATA!AU4)</x:f>
      </x:c>
      <x:c r="E48" s="41"/>
      <x:c r="F48" s="41" t="str">
        <x:f>IF(_PDF_DATA!AV2="","",_PDF_DATA!AV4)</x:f>
      </x:c>
      <x:c r="G48" s="41"/>
      <x:c r="H48" s="41" t="str">
        <x:f>IF(_PDF_DATA!AW2="","",_PDF_DATA!AW4)</x:f>
      </x:c>
      <x:c r="I48" s="41"/>
      <x:c r="J48" s="41" t="str">
        <x:f>IF(_PDF_DATA!AX2="","",_PDF_DATA!AX4)</x:f>
      </x:c>
      <x:c r="K48" s="41"/>
    </x:row>
    <x:row r="49">
      <x:c r="A49" s="41" t="str">
        <x:f>IF(_PDF_DATA!AT5="","",_PDF_DATA!AT5)</x:f>
      </x:c>
      <x:c r="B49" s="41"/>
      <x:c r="C49" s="41"/>
      <x:c r="D49" s="41" t="str">
        <x:f>IF(_PDF_DATA!AU2="","",_PDF_DATA!AU5)</x:f>
      </x:c>
      <x:c r="E49" s="41"/>
      <x:c r="F49" s="41" t="str">
        <x:f>IF(_PDF_DATA!AV2="","",_PDF_DATA!AV5)</x:f>
      </x:c>
      <x:c r="G49" s="41"/>
      <x:c r="H49" s="41" t="str">
        <x:f>IF(_PDF_DATA!AW2="","",_PDF_DATA!AW5)</x:f>
      </x:c>
      <x:c r="I49" s="41"/>
      <x:c r="J49" s="41" t="str">
        <x:f>IF(_PDF_DATA!AX2="","",_PDF_DATA!AX5)</x:f>
      </x:c>
      <x:c r="K49" s="41"/>
    </x:row>
    <x:row r="50">
      <x:c r="A50" s="73" t="s">
        <x:v>43</x:v>
      </x:c>
      <x:c r="B50" s="101"/>
      <x:c r="C50" s="101"/>
      <x:c r="D50" s="101"/>
      <x:c r="E50" s="101"/>
      <x:c r="F50" s="101"/>
      <x:c r="G50" s="101"/>
      <x:c r="H50" s="101"/>
      <x:c r="I50" s="101"/>
      <x:c r="J50" s="101"/>
      <x:c r="K50" s="101"/>
    </x:row>
  </x:sheetData>
  <x:mergeCells>
    <x:mergeCell ref="A36:E36"/>
    <x:mergeCell ref="A2:K2"/>
    <x:mergeCell ref="J31:K31"/>
    <x:mergeCell ref="G16:K16"/>
    <x:mergeCell ref="G12:G13"/>
    <x:mergeCell ref="A9:B9"/>
    <x:mergeCell ref="H10:H11"/>
    <x:mergeCell ref="A16:F16"/>
    <x:mergeCell ref="A12:B13"/>
    <x:mergeCell ref="C12:D13"/>
    <x:mergeCell ref="C5:D5"/>
    <x:mergeCell ref="E5:F5"/>
    <x:mergeCell ref="A14:B15"/>
    <x:mergeCell ref="A38:G38"/>
    <x:mergeCell ref="A40:B40"/>
    <x:mergeCell ref="A41:B41"/>
    <x:mergeCell ref="A44:K44"/>
    <x:mergeCell ref="J45:K45"/>
    <x:mergeCell ref="H45:I45"/>
    <x:mergeCell ref="A39:B39"/>
    <x:mergeCell ref="A46:C46"/>
    <x:mergeCell ref="C41:E41"/>
    <x:mergeCell ref="C42:E42"/>
    <x:mergeCell ref="F40:G40"/>
    <x:mergeCell ref="F41:G41"/>
    <x:mergeCell ref="F45:G45"/>
    <x:mergeCell ref="D45:E45"/>
    <x:mergeCell ref="A45:C45"/>
    <x:mergeCell ref="F46:G46"/>
    <x:mergeCell ref="J46:K46"/>
    <x:mergeCell ref="C10:D11"/>
    <x:mergeCell ref="E10:F11"/>
    <x:mergeCell ref="H14:H15"/>
    <x:mergeCell ref="F39:G39"/>
    <x:mergeCell ref="B31:D31"/>
    <x:mergeCell ref="F42:G42"/>
    <x:mergeCell ref="I10:K11"/>
    <x:mergeCell ref="D46:E46"/>
    <x:mergeCell ref="H46:I46"/>
    <x:mergeCell ref="G14:G15"/>
    <x:mergeCell ref="C39:E39"/>
    <x:mergeCell ref="B33:D33"/>
    <x:mergeCell ref="E12:F13"/>
    <x:mergeCell ref="A42:B42"/>
    <x:mergeCell ref="C40:E40"/>
    <x:mergeCell ref="A1:K1"/>
    <x:mergeCell ref="G18:K18"/>
    <x:mergeCell ref="I5:K5"/>
    <x:mergeCell ref="E6:F6"/>
    <x:mergeCell ref="A5:B5"/>
    <x:mergeCell ref="A4:K4"/>
    <x:mergeCell ref="C7:D7"/>
    <x:mergeCell ref="A6:B6"/>
    <x:mergeCell ref="C9:D9"/>
    <x:mergeCell ref="E9:F9"/>
    <x:mergeCell ref="E7:F7"/>
    <x:mergeCell ref="A8:B8"/>
    <x:mergeCell ref="C8:D8"/>
    <x:mergeCell ref="E8:F8"/>
    <x:mergeCell ref="G10:G11"/>
    <x:mergeCell ref="A7:B7"/>
    <x:mergeCell ref="I9:K9"/>
    <x:mergeCell ref="I6:K6"/>
    <x:mergeCell ref="I7:K7"/>
    <x:mergeCell ref="H12:H13"/>
    <x:mergeCell ref="A30:E30"/>
    <x:mergeCell ref="G30:K30"/>
    <x:mergeCell ref="I8:K8"/>
    <x:mergeCell ref="A10:B11"/>
    <x:mergeCell ref="C14:D15"/>
    <x:mergeCell ref="I12:K13"/>
    <x:mergeCell ref="E14:F15"/>
    <x:mergeCell ref="A18:E18"/>
    <x:mergeCell ref="I14:K15"/>
    <x:mergeCell ref="C6:D6"/>
    <x:mergeCell ref="J33:K33"/>
    <x:mergeCell ref="B32:D32"/>
    <x:mergeCell ref="J32:K32"/>
    <x:mergeCell ref="J34:K34"/>
    <x:mergeCell ref="J35:K35"/>
    <x:mergeCell ref="B34:D34"/>
    <x:mergeCell ref="B35:D35"/>
    <x:mergeCell ref="A47:C47"/>
    <x:mergeCell ref="A48:C48"/>
    <x:mergeCell ref="A49:C49"/>
    <x:mergeCell ref="J49:K49"/>
    <x:mergeCell ref="J48:K48"/>
    <x:mergeCell ref="J47:K47"/>
    <x:mergeCell ref="H47:I47"/>
    <x:mergeCell ref="H48:I48"/>
    <x:mergeCell ref="H49:I49"/>
    <x:mergeCell ref="F47:G47"/>
    <x:mergeCell ref="F48:G48"/>
    <x:mergeCell ref="F49:G49"/>
    <x:mergeCell ref="D47:E47"/>
    <x:mergeCell ref="D48:E48"/>
    <x:mergeCell ref="D49:E49"/>
  </x:mergeCells>
  <x:pageMargins left="0.7" right="0.7" top="0.75" bottom="0.75" header="0.3" footer="0.3"/>
  <x:drawing xmlns:r="http://schemas.openxmlformats.org/officeDocument/2006/relationships" r:id="Radd2de5eefc94564"/>
</x:worksheet>
</file>

<file path=xl/worksheets/sheet3.xml><?xml version="1.0" encoding="utf-8"?>
<x:worksheet xmlns:x="http://schemas.openxmlformats.org/spreadsheetml/2006/main">
  <x:sheetFormatPr defaultColWidth="4" defaultRowHeight="14.399999618530273"/>
  <x:cols>
    <x:col min="1" max="1" width="12" style="16" customWidth="1"/>
    <x:col min="2" max="2" width="32" style="16" customWidth="1"/>
    <x:col min="3" max="3" width="80" style="17" customWidth="1"/>
    <x:col min="4" max="4" width="4" style="16" customWidth="1"/>
    <x:col min="5" max="5" width="16" style="16" customWidth="1"/>
    <x:col min="6" max="6" width="20" style="16" customWidth="1"/>
    <x:col min="7" max="7" width="58" style="17" customWidth="1"/>
    <x:col min="8" max="8" width="4" style="16" customWidth="1"/>
    <x:col min="9" max="9" width="30" style="19" customWidth="1"/>
    <x:col min="10" max="10" width="20" style="19" customWidth="1"/>
    <x:col min="11" max="11" width="18" style="19" customWidth="1"/>
    <x:col min="12" max="12" width="24" style="19" customWidth="1"/>
    <x:col min="13" max="13" width="28" style="19" customWidth="1"/>
    <x:col min="14" max="14" width="54" style="20" customWidth="1"/>
    <x:col min="15" max="15" width="20" style="19" customWidth="1"/>
    <x:col min="16" max="16" width="4" style="16" customWidth="1"/>
    <x:col min="17" max="17" width="34" style="16" customWidth="1"/>
    <x:col min="18" max="18" width="24" style="17" customWidth="1"/>
    <x:col min="19" max="19" width="90" style="16" customWidth="1"/>
    <x:col min="20" max="20" width="4" customWidth="1"/>
    <x:col min="21" max="21" width="22" style="16" customWidth="1"/>
    <x:col min="22" max="22" width="24" customWidth="1"/>
    <x:col min="23" max="23" width="44" customWidth="1"/>
    <x:col min="24" max="24" width="28" customWidth="1"/>
    <x:col min="25" max="25" width="20" customWidth="1"/>
    <x:col min="26" max="26" width="70" customWidth="1"/>
    <x:col min="27" max="27" width="28" style="16" customWidth="1"/>
    <x:col min="28" max="28" width="32" style="16" customWidth="1"/>
    <x:col min="29" max="29" width="32" customWidth="1"/>
    <x:col min="30" max="30" width="18" customWidth="1"/>
    <x:col min="31" max="31" width="42" style="16" customWidth="1"/>
    <x:col min="32" max="32" width="4" customWidth="1"/>
    <x:col min="33" max="33" width="14" customWidth="1"/>
    <x:col min="34" max="34" width="20" customWidth="1"/>
    <x:col min="35" max="36" width="18" customWidth="1"/>
    <x:col min="37" max="37" width="16" customWidth="1"/>
    <x:col min="38" max="38" width="4" customWidth="1"/>
    <x:col min="39" max="39" width="14" customWidth="1"/>
    <x:col min="40" max="41" width="18" customWidth="1"/>
    <x:col min="42" max="42" width="20" customWidth="1"/>
    <x:col min="43" max="43" width="22" customWidth="1"/>
    <x:col min="44" max="44" width="16" customWidth="1"/>
    <x:col min="45" max="45" width="4" style="16" customWidth="1"/>
    <x:col min="46" max="46" width="34" customWidth="1"/>
    <x:col min="47" max="47" width="18" customWidth="1"/>
    <x:col min="48" max="48" width="16" customWidth="1"/>
    <x:col min="49" max="49" width="20" customWidth="1"/>
    <x:col min="50" max="50" width="16" customWidth="1"/>
    <x:col min="51" max="52" width="4" style="16" customWidth="1"/>
    <x:col min="53" max="16384" width="4" style="16" customWidth="0"/>
  </x:cols>
  <x:sheetData>
    <x:row r="1" ht="22.049999237060547" customHeight="1">
      <x:c r="A1" s="31"/>
      <x:c r="B1" s="31"/>
      <x:c r="C1" s="31"/>
      <x:c r="D1" s="32"/>
      <x:c r="E1" s="31"/>
      <x:c r="F1" s="31"/>
      <x:c r="G1" s="31"/>
      <x:c r="H1" s="32"/>
      <x:c r="I1" s="31"/>
      <x:c r="J1" s="31"/>
      <x:c r="K1" s="31"/>
      <x:c r="L1" s="31"/>
      <x:c r="M1" s="31"/>
      <x:c r="N1" s="31"/>
      <x:c r="O1" s="31"/>
      <x:c r="P1" s="32"/>
      <x:c r="Q1" s="31"/>
      <x:c r="R1" s="31"/>
      <x:c r="S1" s="32"/>
      <x:c r="T1" s="32"/>
      <x:c r="U1" s="31"/>
      <x:c r="V1" s="31"/>
      <x:c r="W1" s="31"/>
      <x:c r="X1" s="31"/>
      <x:c r="Y1" s="31"/>
      <x:c r="Z1" s="31"/>
      <x:c r="AA1" s="32"/>
      <x:c r="AB1" s="32"/>
      <x:c r="AC1" s="32"/>
      <x:c r="AD1" s="32"/>
      <x:c r="AE1" s="32"/>
      <x:c r="AF1" s="32"/>
      <x:c r="AG1" s="31"/>
      <x:c r="AH1" s="31"/>
      <x:c r="AI1" s="31"/>
      <x:c r="AJ1" s="31"/>
      <x:c r="AK1" s="31"/>
      <x:c r="AL1" s="32"/>
      <x:c r="AM1" s="31"/>
      <x:c r="AN1" s="31"/>
      <x:c r="AO1" s="31"/>
      <x:c r="AP1" s="31"/>
      <x:c r="AQ1" s="31"/>
      <x:c r="AR1" s="31"/>
      <x:c r="AS1" s="32"/>
      <x:c r="AT1" s="31"/>
      <x:c r="AU1" s="31"/>
      <x:c r="AV1" s="31"/>
      <x:c r="AW1" s="31"/>
      <x:c r="AX1" s="31"/>
    </x:row>
    <x:row r="2" ht="28.049999237060547" customHeight="1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  <x:c r="S2" s="32"/>
      <x:c r="T2" s="32"/>
      <x:c r="U2" s="32"/>
      <x:c r="V2" s="32"/>
      <x:c r="W2" s="32"/>
      <x:c r="X2" s="32"/>
      <x:c r="Y2" s="32"/>
      <x:c r="Z2" s="32"/>
      <x:c r="AA2" s="32"/>
      <x:c r="AB2" s="32"/>
      <x:c r="AC2" s="32"/>
      <x:c r="AD2" s="32"/>
      <x:c r="AE2" s="32"/>
      <x:c r="AF2" s="32"/>
      <x:c r="AG2" s="33"/>
      <x:c r="AH2" s="32"/>
      <x:c r="AI2" s="32"/>
      <x:c r="AJ2" s="32"/>
      <x:c r="AK2" s="32"/>
      <x:c r="AL2" s="32"/>
      <x:c r="AM2" s="33"/>
      <x:c r="AN2" s="32"/>
      <x:c r="AO2" s="32"/>
      <x:c r="AP2" s="32"/>
      <x:c r="AQ2" s="32"/>
      <x:c r="AR2" s="32"/>
      <x:c r="AS2" s="32"/>
      <x:c r="AT2" s="32"/>
      <x:c r="AU2" s="32"/>
      <x:c r="AV2" s="32"/>
      <x:c r="AW2" s="32"/>
      <x:c r="AX2" s="32"/>
    </x:row>
    <x:row r="3" ht="28.049999237060547" customHeight="1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  <x:c r="S3" s="32"/>
      <x:c r="T3" s="32"/>
      <x:c r="U3" s="32"/>
      <x:c r="V3" s="32"/>
      <x:c r="W3" s="32"/>
      <x:c r="X3" s="32"/>
      <x:c r="Y3" s="32"/>
      <x:c r="Z3" s="32"/>
      <x:c r="AA3" s="32"/>
      <x:c r="AB3" s="32"/>
      <x:c r="AC3" s="32"/>
      <x:c r="AD3" s="32"/>
      <x:c r="AE3" s="32"/>
      <x:c r="AF3" s="32"/>
      <x:c r="AG3" s="33"/>
      <x:c r="AH3" s="32"/>
      <x:c r="AI3" s="32"/>
      <x:c r="AJ3" s="32"/>
      <x:c r="AK3" s="32"/>
      <x:c r="AL3" s="32"/>
      <x:c r="AM3" s="33"/>
      <x:c r="AN3" s="32"/>
      <x:c r="AO3" s="32"/>
      <x:c r="AP3" s="32"/>
      <x:c r="AQ3" s="32"/>
      <x:c r="AR3" s="32"/>
      <x:c r="AS3" s="32"/>
      <x:c r="AT3" s="32"/>
      <x:c r="AU3" s="32"/>
      <x:c r="AV3" s="32"/>
      <x:c r="AW3" s="32"/>
      <x:c r="AX3" s="32"/>
    </x:row>
    <x:row r="4" ht="28.049999237060547" customHeight="1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  <x:c r="O4" s="32"/>
      <x:c r="P4" s="32"/>
      <x:c r="Q4" s="32"/>
      <x:c r="R4" s="32"/>
      <x:c r="S4" s="32"/>
      <x:c r="T4" s="32"/>
      <x:c r="U4" s="32"/>
      <x:c r="V4" s="32"/>
      <x:c r="W4" s="32"/>
      <x:c r="X4" s="32"/>
      <x:c r="Y4" s="32"/>
      <x:c r="Z4" s="32"/>
      <x:c r="AA4" s="32"/>
      <x:c r="AB4" s="32"/>
      <x:c r="AC4" s="32"/>
      <x:c r="AD4" s="32"/>
      <x:c r="AE4" s="32"/>
      <x:c r="AF4" s="32"/>
      <x:c r="AG4" s="33"/>
      <x:c r="AH4" s="32"/>
      <x:c r="AI4" s="32"/>
      <x:c r="AJ4" s="32"/>
      <x:c r="AK4" s="32"/>
      <x:c r="AL4" s="32"/>
      <x:c r="AM4" s="33"/>
      <x:c r="AN4" s="32"/>
      <x:c r="AO4" s="32"/>
      <x:c r="AP4" s="32"/>
      <x:c r="AQ4" s="32"/>
      <x:c r="AR4" s="32"/>
      <x:c r="AS4" s="32"/>
      <x:c r="AT4" s="32"/>
      <x:c r="AU4" s="32"/>
      <x:c r="AV4" s="32"/>
      <x:c r="AW4" s="32"/>
      <x:c r="AX4" s="32"/>
    </x:row>
    <x:row r="5" ht="28.049999237060547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  <x:c r="S5" s="32"/>
      <x:c r="T5" s="32"/>
      <x:c r="U5" s="32"/>
      <x:c r="V5" s="32"/>
      <x:c r="W5" s="32"/>
      <x:c r="X5" s="32"/>
      <x:c r="Y5" s="32"/>
      <x:c r="Z5" s="32"/>
      <x:c r="AA5" s="32"/>
      <x:c r="AB5" s="32"/>
      <x:c r="AC5" s="32"/>
      <x:c r="AD5" s="32"/>
      <x:c r="AE5" s="32"/>
      <x:c r="AF5" s="32"/>
      <x:c r="AG5" s="33"/>
      <x:c r="AH5" s="32"/>
      <x:c r="AI5" s="32"/>
      <x:c r="AJ5" s="32"/>
      <x:c r="AK5" s="32"/>
      <x:c r="AL5" s="32"/>
      <x:c r="AM5" s="33"/>
      <x:c r="AN5" s="32"/>
      <x:c r="AO5" s="32"/>
      <x:c r="AP5" s="32"/>
      <x:c r="AQ5" s="32"/>
      <x:c r="AR5" s="32"/>
      <x:c r="AS5" s="32"/>
      <x:c r="AT5" s="32"/>
      <x:c r="AU5" s="32"/>
      <x:c r="AV5" s="32"/>
      <x:c r="AW5" s="32"/>
      <x:c r="AX5" s="32"/>
    </x:row>
    <x:row r="6" ht="28.049999237060547" customHeight="1">
      <x:c r="A6" s="32"/>
      <x:c r="B6" s="32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  <x:c r="S6" s="32"/>
      <x:c r="T6" s="32"/>
      <x:c r="U6" s="32"/>
      <x:c r="V6" s="32"/>
      <x:c r="W6" s="32"/>
      <x:c r="X6" s="32"/>
      <x:c r="Y6" s="32"/>
      <x:c r="Z6" s="32"/>
      <x:c r="AA6" s="32"/>
      <x:c r="AB6" s="32"/>
      <x:c r="AC6" s="32"/>
      <x:c r="AD6" s="32"/>
      <x:c r="AE6" s="32"/>
      <x:c r="AF6" s="32"/>
      <x:c r="AG6" s="33"/>
      <x:c r="AH6" s="32"/>
      <x:c r="AI6" s="32"/>
      <x:c r="AJ6" s="32"/>
      <x:c r="AK6" s="32"/>
      <x:c r="AL6" s="32"/>
      <x:c r="AM6" s="33"/>
      <x:c r="AN6" s="32"/>
      <x:c r="AO6" s="32"/>
      <x:c r="AP6" s="32"/>
      <x:c r="AQ6" s="32"/>
      <x:c r="AR6" s="32"/>
      <x:c r="AS6" s="32"/>
      <x:c r="AT6" s="32"/>
      <x:c r="AU6" s="32"/>
      <x:c r="AV6" s="32"/>
      <x:c r="AW6" s="32"/>
      <x:c r="AX6" s="32"/>
    </x:row>
    <x:row r="7" ht="28.049999237060547" customHeight="1">
      <x:c r="A7" s="32"/>
      <x:c r="B7" s="32"/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1"/>
      <x:c r="R7" s="31"/>
      <x:c r="S7" s="32"/>
      <x:c r="T7" s="32"/>
      <x:c r="U7" s="32"/>
      <x:c r="V7" s="32"/>
      <x:c r="W7" s="32"/>
      <x:c r="X7" s="32"/>
      <x:c r="Y7" s="32"/>
      <x:c r="Z7" s="32"/>
      <x:c r="AA7" s="32"/>
      <x:c r="AB7" s="32"/>
      <x:c r="AC7" s="32"/>
      <x:c r="AD7" s="32"/>
      <x:c r="AE7" s="32"/>
      <x:c r="AF7" s="32"/>
      <x:c r="AG7" s="33"/>
      <x:c r="AH7" s="32"/>
      <x:c r="AI7" s="32"/>
      <x:c r="AJ7" s="32"/>
      <x:c r="AK7" s="32"/>
      <x:c r="AL7" s="32"/>
      <x:c r="AM7" s="33"/>
      <x:c r="AN7" s="32"/>
      <x:c r="AO7" s="32"/>
      <x:c r="AP7" s="32"/>
      <x:c r="AQ7" s="32"/>
      <x:c r="AR7" s="32"/>
      <x:c r="AS7" s="32"/>
      <x:c r="AT7" s="32"/>
      <x:c r="AU7" s="32"/>
      <x:c r="AV7" s="32"/>
      <x:c r="AW7" s="32"/>
      <x:c r="AX7" s="32"/>
    </x:row>
    <x:row r="8" ht="28.049999237060547" customHeight="1">
      <x:c r="A8" s="32"/>
      <x:c r="B8" s="32"/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  <x:c r="S8" s="32"/>
      <x:c r="T8" s="32"/>
      <x:c r="U8" s="32"/>
      <x:c r="V8" s="32"/>
      <x:c r="W8" s="32"/>
      <x:c r="X8" s="32"/>
      <x:c r="Y8" s="32"/>
      <x:c r="Z8" s="32"/>
      <x:c r="AA8" s="32"/>
      <x:c r="AB8" s="32"/>
      <x:c r="AC8" s="32"/>
      <x:c r="AD8" s="32"/>
      <x:c r="AE8" s="32"/>
      <x:c r="AF8" s="32"/>
      <x:c r="AG8" s="33"/>
      <x:c r="AH8" s="32"/>
      <x:c r="AI8" s="32"/>
      <x:c r="AJ8" s="32"/>
      <x:c r="AK8" s="32"/>
      <x:c r="AL8" s="32"/>
      <x:c r="AM8" s="33"/>
      <x:c r="AN8" s="32"/>
      <x:c r="AO8" s="32"/>
      <x:c r="AP8" s="32"/>
      <x:c r="AQ8" s="32"/>
      <x:c r="AR8" s="32"/>
      <x:c r="AS8" s="32"/>
      <x:c r="AT8" s="32"/>
      <x:c r="AU8" s="32"/>
      <x:c r="AV8" s="32"/>
      <x:c r="AW8" s="32"/>
      <x:c r="AX8" s="32"/>
    </x:row>
    <x:row r="9" ht="60" customHeight="1">
      <x:c r="A9" s="32"/>
      <x:c r="B9" s="32"/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  <x:c r="S9" s="32"/>
      <x:c r="T9" s="32"/>
      <x:c r="U9" s="32"/>
      <x:c r="V9" s="32"/>
      <x:c r="W9" s="32"/>
      <x:c r="X9" s="32"/>
      <x:c r="Y9" s="32"/>
      <x:c r="Z9" s="32"/>
      <x:c r="AA9" s="32"/>
      <x:c r="AB9" s="32"/>
      <x:c r="AC9" s="32"/>
      <x:c r="AD9" s="32"/>
      <x:c r="AE9" s="32"/>
      <x:c r="AF9" s="32"/>
      <x:c r="AG9" s="33"/>
      <x:c r="AH9" s="32"/>
      <x:c r="AI9" s="32"/>
      <x:c r="AJ9" s="32"/>
      <x:c r="AK9" s="32"/>
      <x:c r="AL9" s="32"/>
      <x:c r="AM9" s="33"/>
      <x:c r="AN9" s="32"/>
      <x:c r="AO9" s="32"/>
      <x:c r="AP9" s="32"/>
      <x:c r="AQ9" s="32"/>
      <x:c r="AR9" s="32"/>
      <x:c r="AS9" s="32"/>
      <x:c r="AT9" s="32"/>
      <x:c r="AU9" s="32"/>
      <x:c r="AV9" s="32"/>
      <x:c r="AW9" s="32"/>
      <x:c r="AX9" s="32"/>
    </x:row>
    <x:row r="10" ht="60" customHeight="1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  <x:c r="S10" s="32"/>
      <x:c r="T10" s="32"/>
      <x:c r="U10" s="32"/>
      <x:c r="V10" s="32"/>
      <x:c r="W10" s="32"/>
      <x:c r="X10" s="32"/>
      <x:c r="Y10" s="32"/>
      <x:c r="Z10" s="32"/>
      <x:c r="AA10" s="32"/>
      <x:c r="AB10" s="32"/>
      <x:c r="AC10" s="32"/>
      <x:c r="AD10" s="32"/>
      <x:c r="AE10" s="32"/>
      <x:c r="AF10" s="32"/>
      <x:c r="AG10" s="33"/>
      <x:c r="AH10" s="32"/>
      <x:c r="AI10" s="32"/>
      <x:c r="AJ10" s="32"/>
      <x:c r="AK10" s="32"/>
      <x:c r="AL10" s="32"/>
      <x:c r="AM10" s="33"/>
      <x:c r="AN10" s="32"/>
      <x:c r="AO10" s="32"/>
      <x:c r="AP10" s="32"/>
      <x:c r="AQ10" s="32"/>
      <x:c r="AR10" s="32"/>
      <x:c r="AS10" s="32"/>
      <x:c r="AT10" s="32"/>
      <x:c r="AU10" s="32"/>
      <x:c r="AV10" s="32"/>
      <x:c r="AW10" s="32"/>
      <x:c r="AX10" s="32"/>
    </x:row>
    <x:row r="11" ht="60" customHeight="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  <x:c r="S11" s="32"/>
      <x:c r="T11" s="32"/>
      <x:c r="U11" s="32"/>
      <x:c r="V11" s="32"/>
      <x:c r="W11" s="32"/>
      <x:c r="X11" s="32"/>
      <x:c r="Y11" s="32"/>
      <x:c r="Z11" s="32"/>
      <x:c r="AA11" s="32"/>
      <x:c r="AB11" s="32"/>
      <x:c r="AC11" s="32"/>
      <x:c r="AD11" s="32"/>
      <x:c r="AE11" s="32"/>
      <x:c r="AF11" s="32"/>
      <x:c r="AG11" s="33"/>
      <x:c r="AH11" s="32"/>
      <x:c r="AI11" s="32"/>
      <x:c r="AJ11" s="32"/>
      <x:c r="AK11" s="32"/>
      <x:c r="AL11" s="32"/>
      <x:c r="AM11" s="33"/>
      <x:c r="AN11" s="32"/>
      <x:c r="AO11" s="32"/>
      <x:c r="AP11" s="32"/>
      <x:c r="AQ11" s="32"/>
      <x:c r="AR11" s="32"/>
      <x:c r="AS11" s="32"/>
      <x:c r="AT11" s="32"/>
      <x:c r="AU11" s="32"/>
      <x:c r="AV11" s="32"/>
      <x:c r="AW11" s="32"/>
      <x:c r="AX11" s="32"/>
    </x:row>
    <x:row r="12" ht="22.049999237060547" customHeight="1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  <x:c r="S12" s="32"/>
      <x:c r="T12" s="32"/>
      <x:c r="U12" s="31"/>
      <x:c r="V12" s="31"/>
      <x:c r="W12" s="31"/>
      <x:c r="X12" s="31"/>
      <x:c r="Y12" s="32"/>
      <x:c r="Z12" s="32"/>
      <x:c r="AA12" s="31"/>
      <x:c r="AB12" s="31"/>
      <x:c r="AC12" s="31"/>
      <x:c r="AD12" s="31"/>
      <x:c r="AE12" s="31"/>
      <x:c r="AF12" s="32"/>
      <x:c r="AG12" s="33"/>
      <x:c r="AH12" s="32"/>
      <x:c r="AI12" s="32"/>
      <x:c r="AJ12" s="32"/>
      <x:c r="AK12" s="32"/>
      <x:c r="AL12" s="32"/>
      <x:c r="AM12" s="33"/>
      <x:c r="AN12" s="32"/>
      <x:c r="AO12" s="32"/>
      <x:c r="AP12" s="32"/>
      <x:c r="AQ12" s="32"/>
      <x:c r="AR12" s="32"/>
      <x:c r="AS12" s="32"/>
      <x:c r="AT12" s="32"/>
      <x:c r="AU12" s="32"/>
      <x:c r="AV12" s="32"/>
      <x:c r="AW12" s="32"/>
      <x:c r="AX12" s="32"/>
    </x:row>
    <x:row r="13" ht="19.950000762939453" customHeight="1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  <x:c r="S13" s="32"/>
      <x:c r="T13" s="32"/>
      <x:c r="U13" s="32"/>
      <x:c r="V13" s="32"/>
      <x:c r="W13" s="32"/>
      <x:c r="X13" s="32"/>
      <x:c r="Y13" s="32"/>
      <x:c r="Z13" s="32"/>
      <x:c r="AA13" s="32"/>
      <x:c r="AB13" s="32"/>
      <x:c r="AC13" s="32"/>
      <x:c r="AD13" s="32"/>
      <x:c r="AE13" s="32"/>
      <x:c r="AF13" s="32"/>
      <x:c r="AG13" s="33"/>
      <x:c r="AH13" s="32"/>
      <x:c r="AI13" s="32"/>
      <x:c r="AJ13" s="32"/>
      <x:c r="AK13" s="32"/>
      <x:c r="AL13" s="32"/>
      <x:c r="AM13" s="33"/>
      <x:c r="AN13" s="32"/>
      <x:c r="AO13" s="32"/>
      <x:c r="AP13" s="32"/>
      <x:c r="AQ13" s="32"/>
      <x:c r="AR13" s="32"/>
      <x:c r="AS13" s="32"/>
      <x:c r="AT13" s="32"/>
      <x:c r="AU13" s="32"/>
      <x:c r="AV13" s="32"/>
      <x:c r="AW13" s="32"/>
      <x:c r="AX13" s="32"/>
    </x:row>
    <x:row r="14" ht="22.049999237060547" customHeight="1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1"/>
      <x:c r="R14" s="31"/>
      <x:c r="S14" s="31"/>
      <x:c r="T14" s="32"/>
      <x:c r="U14" s="32"/>
      <x:c r="V14" s="32"/>
      <x:c r="W14" s="32"/>
      <x:c r="X14" s="32"/>
      <x:c r="Y14" s="32"/>
      <x:c r="Z14" s="32"/>
      <x:c r="AA14" s="32"/>
      <x:c r="AB14" s="32"/>
      <x:c r="AC14" s="32"/>
      <x:c r="AD14" s="32"/>
      <x:c r="AE14" s="32"/>
      <x:c r="AF14" s="32"/>
      <x:c r="AG14" s="33"/>
      <x:c r="AH14" s="32"/>
      <x:c r="AI14" s="32"/>
      <x:c r="AJ14" s="32"/>
      <x:c r="AK14" s="32"/>
      <x:c r="AL14" s="32"/>
      <x:c r="AM14" s="33"/>
      <x:c r="AN14" s="32"/>
      <x:c r="AO14" s="32"/>
      <x:c r="AP14" s="32"/>
      <x:c r="AQ14" s="32"/>
      <x:c r="AR14" s="32"/>
      <x:c r="AS14" s="32"/>
      <x:c r="AT14" s="32"/>
      <x:c r="AU14" s="32"/>
      <x:c r="AV14" s="32"/>
      <x:c r="AW14" s="32"/>
      <x:c r="AX14" s="32"/>
    </x:row>
    <x:row r="15" ht="30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  <x:c r="S15" s="32"/>
      <x:c r="T15" s="32"/>
      <x:c r="U15" s="32"/>
      <x:c r="V15" s="32"/>
      <x:c r="W15" s="32"/>
      <x:c r="X15" s="32"/>
      <x:c r="Y15" s="32"/>
      <x:c r="Z15" s="32"/>
      <x:c r="AA15" s="32"/>
      <x:c r="AB15" s="32"/>
      <x:c r="AC15" s="32"/>
      <x:c r="AD15" s="32"/>
      <x:c r="AE15" s="32"/>
      <x:c r="AF15" s="32"/>
      <x:c r="AG15" s="33"/>
      <x:c r="AH15" s="32"/>
      <x:c r="AI15" s="32"/>
      <x:c r="AJ15" s="32"/>
      <x:c r="AK15" s="32"/>
      <x:c r="AL15" s="32"/>
      <x:c r="AM15" s="33"/>
      <x:c r="AN15" s="32"/>
      <x:c r="AO15" s="32"/>
      <x:c r="AP15" s="32"/>
      <x:c r="AQ15" s="32"/>
      <x:c r="AR15" s="32"/>
      <x:c r="AS15" s="32"/>
      <x:c r="AT15" s="32"/>
      <x:c r="AU15" s="32"/>
      <x:c r="AV15" s="32"/>
      <x:c r="AW15" s="32"/>
      <x:c r="AX15" s="32"/>
    </x:row>
    <x:row r="16" ht="30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  <x:c r="S16" s="32"/>
      <x:c r="T16" s="32"/>
      <x:c r="U16" s="32"/>
      <x:c r="V16" s="32"/>
      <x:c r="W16" s="32"/>
      <x:c r="X16" s="32"/>
      <x:c r="Y16" s="32"/>
      <x:c r="Z16" s="32"/>
      <x:c r="AA16" s="32"/>
      <x:c r="AB16" s="32"/>
      <x:c r="AC16" s="32"/>
      <x:c r="AD16" s="32"/>
      <x:c r="AE16" s="32"/>
      <x:c r="AF16" s="32"/>
      <x:c r="AG16" s="33"/>
      <x:c r="AH16" s="32"/>
      <x:c r="AI16" s="32"/>
      <x:c r="AJ16" s="32"/>
      <x:c r="AK16" s="32"/>
      <x:c r="AL16" s="32"/>
      <x:c r="AM16" s="33"/>
      <x:c r="AN16" s="32"/>
      <x:c r="AO16" s="32"/>
      <x:c r="AP16" s="32"/>
      <x:c r="AQ16" s="32"/>
      <x:c r="AR16" s="32"/>
      <x:c r="AS16" s="32"/>
      <x:c r="AT16" s="32"/>
      <x:c r="AU16" s="32"/>
      <x:c r="AV16" s="32"/>
      <x:c r="AW16" s="32"/>
      <x:c r="AX16" s="32"/>
    </x:row>
    <x:row r="17" ht="30" customHeight="1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  <x:c r="O17" s="32"/>
      <x:c r="P17" s="32"/>
      <x:c r="Q17" s="32"/>
      <x:c r="R17" s="32"/>
      <x:c r="S17" s="32"/>
      <x:c r="T17" s="32"/>
      <x:c r="U17" s="32"/>
      <x:c r="V17" s="32"/>
      <x:c r="W17" s="32"/>
      <x:c r="X17" s="32"/>
      <x:c r="Y17" s="32"/>
      <x:c r="Z17" s="32"/>
      <x:c r="AA17" s="32"/>
      <x:c r="AB17" s="32"/>
      <x:c r="AC17" s="32"/>
      <x:c r="AD17" s="32"/>
      <x:c r="AE17" s="32"/>
      <x:c r="AF17" s="32"/>
      <x:c r="AG17" s="33"/>
      <x:c r="AH17" s="32"/>
      <x:c r="AI17" s="32"/>
      <x:c r="AJ17" s="32"/>
      <x:c r="AK17" s="32"/>
      <x:c r="AL17" s="32"/>
      <x:c r="AM17" s="33"/>
      <x:c r="AN17" s="32"/>
      <x:c r="AO17" s="32"/>
      <x:c r="AP17" s="32"/>
      <x:c r="AQ17" s="32"/>
      <x:c r="AR17" s="32"/>
      <x:c r="AS17" s="32"/>
      <x:c r="AT17" s="32"/>
      <x:c r="AU17" s="32"/>
      <x:c r="AV17" s="32"/>
      <x:c r="AW17" s="32"/>
      <x:c r="AX17" s="32"/>
    </x:row>
    <x:row r="18" ht="30" customHeight="1">
      <x:c r="A18" s="31"/>
      <x:c r="B18" s="31"/>
      <x:c r="C18" s="31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  <x:c r="O18" s="32"/>
      <x:c r="P18" s="32"/>
      <x:c r="Q18" s="32"/>
      <x:c r="R18" s="32"/>
      <x:c r="S18" s="32"/>
      <x:c r="T18" s="32"/>
      <x:c r="U18" s="32"/>
      <x:c r="V18" s="32"/>
      <x:c r="W18" s="32"/>
      <x:c r="X18" s="32"/>
      <x:c r="Y18" s="32"/>
      <x:c r="Z18" s="32"/>
      <x:c r="AA18" s="32"/>
      <x:c r="AB18" s="32"/>
      <x:c r="AC18" s="32"/>
      <x:c r="AD18" s="32"/>
      <x:c r="AE18" s="32"/>
      <x:c r="AF18" s="32"/>
      <x:c r="AG18" s="33"/>
      <x:c r="AH18" s="32"/>
      <x:c r="AI18" s="32"/>
      <x:c r="AJ18" s="32"/>
      <x:c r="AK18" s="32"/>
      <x:c r="AL18" s="32"/>
      <x:c r="AM18" s="33"/>
      <x:c r="AN18" s="32"/>
      <x:c r="AO18" s="32"/>
      <x:c r="AP18" s="32"/>
      <x:c r="AQ18" s="32"/>
      <x:c r="AR18" s="32"/>
      <x:c r="AS18" s="32"/>
      <x:c r="AT18" s="32"/>
      <x:c r="AU18" s="32"/>
      <x:c r="AV18" s="32"/>
      <x:c r="AW18" s="32"/>
      <x:c r="AX18" s="32"/>
    </x:row>
    <x:row r="19" ht="30" customHeight="1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  <x:c r="O19" s="32"/>
      <x:c r="P19" s="32"/>
      <x:c r="Q19" s="32"/>
      <x:c r="R19" s="32"/>
      <x:c r="S19" s="32"/>
      <x:c r="T19" s="32"/>
      <x:c r="U19" s="32"/>
      <x:c r="V19" s="32"/>
      <x:c r="W19" s="32"/>
      <x:c r="X19" s="32"/>
      <x:c r="Y19" s="32"/>
      <x:c r="Z19" s="32"/>
      <x:c r="AA19" s="32"/>
      <x:c r="AB19" s="32"/>
      <x:c r="AC19" s="32"/>
      <x:c r="AD19" s="32"/>
      <x:c r="AE19" s="32"/>
      <x:c r="AF19" s="32"/>
      <x:c r="AG19" s="33"/>
      <x:c r="AH19" s="32"/>
      <x:c r="AI19" s="32"/>
      <x:c r="AJ19" s="32"/>
      <x:c r="AK19" s="32"/>
      <x:c r="AL19" s="32"/>
      <x:c r="AM19" s="33"/>
      <x:c r="AN19" s="32"/>
      <x:c r="AO19" s="32"/>
      <x:c r="AP19" s="32"/>
      <x:c r="AQ19" s="32"/>
      <x:c r="AR19" s="32"/>
      <x:c r="AS19" s="32"/>
      <x:c r="AT19" s="32"/>
      <x:c r="AU19" s="32"/>
      <x:c r="AV19" s="32"/>
      <x:c r="AW19" s="32"/>
      <x:c r="AX19" s="32"/>
    </x:row>
    <x:row r="20" ht="30" customHeight="1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  <x:c r="O20" s="32"/>
      <x:c r="P20" s="32"/>
      <x:c r="Q20" s="32"/>
      <x:c r="R20" s="32"/>
      <x:c r="S20" s="32"/>
      <x:c r="T20" s="32"/>
      <x:c r="U20" s="32"/>
      <x:c r="V20" s="32"/>
      <x:c r="W20" s="32"/>
      <x:c r="X20" s="32"/>
      <x:c r="Y20" s="32"/>
      <x:c r="Z20" s="32"/>
      <x:c r="AA20" s="32"/>
      <x:c r="AB20" s="32"/>
      <x:c r="AC20" s="32"/>
      <x:c r="AD20" s="32"/>
      <x:c r="AE20" s="32"/>
      <x:c r="AF20" s="32"/>
      <x:c r="AG20" s="33"/>
      <x:c r="AH20" s="32"/>
      <x:c r="AI20" s="32"/>
      <x:c r="AJ20" s="32"/>
      <x:c r="AK20" s="32"/>
      <x:c r="AL20" s="32"/>
      <x:c r="AM20" s="33"/>
      <x:c r="AN20" s="32"/>
      <x:c r="AO20" s="32"/>
      <x:c r="AP20" s="32"/>
      <x:c r="AQ20" s="32"/>
      <x:c r="AR20" s="32"/>
      <x:c r="AS20" s="32"/>
      <x:c r="AT20" s="32"/>
      <x:c r="AU20" s="32"/>
      <x:c r="AV20" s="32"/>
      <x:c r="AW20" s="32"/>
      <x:c r="AX20" s="32"/>
    </x:row>
    <x:row r="21" ht="30" customHeight="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  <x:c r="O21" s="32"/>
      <x:c r="P21" s="32"/>
      <x:c r="Q21" s="32"/>
      <x:c r="R21" s="32"/>
      <x:c r="S21" s="32"/>
      <x:c r="T21" s="32"/>
      <x:c r="U21" s="32"/>
      <x:c r="V21" s="32"/>
      <x:c r="W21" s="32"/>
      <x:c r="X21" s="32"/>
      <x:c r="Y21" s="32"/>
      <x:c r="Z21" s="32"/>
      <x:c r="AA21" s="32"/>
      <x:c r="AB21" s="32"/>
      <x:c r="AC21" s="32"/>
      <x:c r="AD21" s="32"/>
      <x:c r="AE21" s="32"/>
      <x:c r="AF21" s="32"/>
      <x:c r="AG21" s="33"/>
      <x:c r="AH21" s="32"/>
      <x:c r="AI21" s="32"/>
      <x:c r="AJ21" s="32"/>
      <x:c r="AK21" s="32"/>
      <x:c r="AL21" s="32"/>
      <x:c r="AM21" s="33"/>
      <x:c r="AN21" s="32"/>
      <x:c r="AO21" s="32"/>
      <x:c r="AP21" s="32"/>
      <x:c r="AQ21" s="32"/>
      <x:c r="AR21" s="32"/>
      <x:c r="AS21" s="32"/>
      <x:c r="AT21" s="32"/>
      <x:c r="AU21" s="32"/>
      <x:c r="AV21" s="32"/>
      <x:c r="AW21" s="32"/>
      <x:c r="AX21" s="32"/>
    </x:row>
    <x:row r="22" ht="30" customHeight="1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32"/>
      <x:c r="S22" s="32"/>
      <x:c r="T22" s="32"/>
      <x:c r="U22" s="32"/>
      <x:c r="V22" s="32"/>
      <x:c r="W22" s="32"/>
      <x:c r="X22" s="32"/>
      <x:c r="Y22" s="32"/>
      <x:c r="Z22" s="32"/>
      <x:c r="AA22" s="32"/>
      <x:c r="AB22" s="32"/>
      <x:c r="AC22" s="32"/>
      <x:c r="AD22" s="32"/>
      <x:c r="AE22" s="32"/>
      <x:c r="AF22" s="32"/>
      <x:c r="AG22" s="33"/>
      <x:c r="AH22" s="32"/>
      <x:c r="AI22" s="32"/>
      <x:c r="AJ22" s="32"/>
      <x:c r="AK22" s="32"/>
      <x:c r="AL22" s="32"/>
      <x:c r="AM22" s="33"/>
      <x:c r="AN22" s="32"/>
      <x:c r="AO22" s="32"/>
      <x:c r="AP22" s="32"/>
      <x:c r="AQ22" s="32"/>
      <x:c r="AR22" s="32"/>
      <x:c r="AS22" s="32"/>
      <x:c r="AT22" s="32"/>
      <x:c r="AU22" s="32"/>
      <x:c r="AV22" s="32"/>
      <x:c r="AW22" s="32"/>
      <x:c r="AX22" s="32"/>
    </x:row>
    <x:row r="23" ht="30" customHeight="1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  <x:c r="R23" s="32"/>
      <x:c r="S23" s="32"/>
      <x:c r="T23" s="32"/>
      <x:c r="U23" s="32"/>
      <x:c r="V23" s="32"/>
      <x:c r="W23" s="32"/>
      <x:c r="X23" s="32"/>
      <x:c r="Y23" s="32"/>
      <x:c r="Z23" s="32"/>
      <x:c r="AA23" s="32"/>
      <x:c r="AB23" s="32"/>
      <x:c r="AC23" s="32"/>
      <x:c r="AD23" s="32"/>
      <x:c r="AE23" s="32"/>
      <x:c r="AF23" s="32"/>
      <x:c r="AG23" s="33"/>
      <x:c r="AH23" s="32"/>
      <x:c r="AI23" s="32"/>
      <x:c r="AJ23" s="32"/>
      <x:c r="AK23" s="32"/>
      <x:c r="AL23" s="32"/>
      <x:c r="AM23" s="33"/>
      <x:c r="AN23" s="32"/>
      <x:c r="AO23" s="32"/>
      <x:c r="AP23" s="32"/>
      <x:c r="AQ23" s="32"/>
      <x:c r="AR23" s="32"/>
      <x:c r="AS23" s="32"/>
      <x:c r="AT23" s="32"/>
      <x:c r="AU23" s="32"/>
      <x:c r="AV23" s="32"/>
      <x:c r="AW23" s="32"/>
      <x:c r="AX23" s="32"/>
    </x:row>
    <x:row r="24" ht="30" customHeight="1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2"/>
      <x:c r="S24" s="32"/>
      <x:c r="T24" s="32"/>
      <x:c r="U24" s="32"/>
      <x:c r="V24" s="32"/>
      <x:c r="W24" s="32"/>
      <x:c r="X24" s="32"/>
      <x:c r="Y24" s="32"/>
      <x:c r="Z24" s="32"/>
      <x:c r="AA24" s="32"/>
      <x:c r="AB24" s="32"/>
      <x:c r="AC24" s="32"/>
      <x:c r="AD24" s="32"/>
      <x:c r="AE24" s="32"/>
      <x:c r="AF24" s="32"/>
      <x:c r="AG24" s="33"/>
      <x:c r="AH24" s="32"/>
      <x:c r="AI24" s="32"/>
      <x:c r="AJ24" s="32"/>
      <x:c r="AK24" s="32"/>
      <x:c r="AL24" s="32"/>
      <x:c r="AM24" s="33"/>
      <x:c r="AN24" s="32"/>
      <x:c r="AO24" s="32"/>
      <x:c r="AP24" s="32"/>
      <x:c r="AQ24" s="32"/>
      <x:c r="AR24" s="32"/>
      <x:c r="AS24" s="32"/>
      <x:c r="AT24" s="32"/>
      <x:c r="AU24" s="32"/>
      <x:c r="AV24" s="32"/>
      <x:c r="AW24" s="32"/>
      <x:c r="AX24" s="32"/>
    </x:row>
    <x:row r="25" ht="30" customHeight="1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2"/>
      <x:c r="T25" s="32"/>
      <x:c r="U25" s="32"/>
      <x:c r="V25" s="32"/>
      <x:c r="W25" s="32"/>
      <x:c r="X25" s="32"/>
      <x:c r="Y25" s="32"/>
      <x:c r="Z25" s="32"/>
      <x:c r="AA25" s="32"/>
      <x:c r="AB25" s="32"/>
      <x:c r="AC25" s="32"/>
      <x:c r="AD25" s="32"/>
      <x:c r="AE25" s="32"/>
      <x:c r="AF25" s="32"/>
      <x:c r="AG25" s="33"/>
      <x:c r="AH25" s="32"/>
      <x:c r="AI25" s="32"/>
      <x:c r="AJ25" s="32"/>
      <x:c r="AK25" s="32"/>
      <x:c r="AL25" s="32"/>
      <x:c r="AM25" s="33"/>
      <x:c r="AN25" s="32"/>
      <x:c r="AO25" s="32"/>
      <x:c r="AP25" s="32"/>
      <x:c r="AQ25" s="32"/>
      <x:c r="AR25" s="32"/>
      <x:c r="AS25" s="32"/>
      <x:c r="AT25" s="32"/>
      <x:c r="AU25" s="32"/>
      <x:c r="AV25" s="32"/>
      <x:c r="AW25" s="32"/>
      <x:c r="AX25" s="32"/>
    </x:row>
    <x:row r="26" ht="30" customHeight="1">
      <x:c r="A26" s="31"/>
      <x:c r="B26" s="31"/>
      <x:c r="C26" s="31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32"/>
      <x:c r="U26" s="32"/>
      <x:c r="V26" s="32"/>
      <x:c r="W26" s="32"/>
      <x:c r="X26" s="32"/>
      <x:c r="Y26" s="32"/>
      <x:c r="Z26" s="32"/>
      <x:c r="AA26" s="32"/>
      <x:c r="AB26" s="32"/>
      <x:c r="AC26" s="32"/>
      <x:c r="AD26" s="32"/>
      <x:c r="AE26" s="32"/>
      <x:c r="AF26" s="32"/>
      <x:c r="AG26" s="33"/>
      <x:c r="AH26" s="32"/>
      <x:c r="AI26" s="32"/>
      <x:c r="AJ26" s="32"/>
      <x:c r="AK26" s="32"/>
      <x:c r="AL26" s="32"/>
      <x:c r="AM26" s="33"/>
      <x:c r="AN26" s="32"/>
      <x:c r="AO26" s="32"/>
      <x:c r="AP26" s="32"/>
      <x:c r="AQ26" s="32"/>
      <x:c r="AR26" s="32"/>
      <x:c r="AS26" s="32"/>
      <x:c r="AT26" s="32"/>
      <x:c r="AU26" s="32"/>
      <x:c r="AV26" s="32"/>
      <x:c r="AW26" s="32"/>
      <x:c r="AX26" s="32"/>
    </x:row>
    <x:row r="27" ht="30" customHeight="1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  <x:c r="R27" s="32"/>
      <x:c r="S27" s="32"/>
      <x:c r="T27" s="32"/>
      <x:c r="U27" s="32"/>
      <x:c r="V27" s="32"/>
      <x:c r="W27" s="32"/>
      <x:c r="X27" s="32"/>
      <x:c r="Y27" s="32"/>
      <x:c r="Z27" s="32"/>
      <x:c r="AA27" s="32"/>
      <x:c r="AB27" s="32"/>
      <x:c r="AC27" s="32"/>
      <x:c r="AD27" s="32"/>
      <x:c r="AE27" s="32"/>
      <x:c r="AF27" s="32"/>
      <x:c r="AG27" s="33"/>
      <x:c r="AH27" s="32"/>
      <x:c r="AI27" s="32"/>
      <x:c r="AJ27" s="32"/>
      <x:c r="AK27" s="32"/>
      <x:c r="AL27" s="32"/>
      <x:c r="AM27" s="33"/>
      <x:c r="AN27" s="32"/>
      <x:c r="AO27" s="32"/>
      <x:c r="AP27" s="32"/>
      <x:c r="AQ27" s="32"/>
      <x:c r="AR27" s="32"/>
      <x:c r="AS27" s="32"/>
      <x:c r="AT27" s="32"/>
      <x:c r="AU27" s="32"/>
      <x:c r="AV27" s="32"/>
      <x:c r="AW27" s="32"/>
      <x:c r="AX27" s="32"/>
    </x:row>
    <x:row r="28" ht="30" customHeight="1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2"/>
      <x:c r="T28" s="32"/>
      <x:c r="U28" s="32"/>
      <x:c r="V28" s="32"/>
      <x:c r="W28" s="32"/>
      <x:c r="X28" s="32"/>
      <x:c r="Y28" s="32"/>
      <x:c r="Z28" s="32"/>
      <x:c r="AA28" s="32"/>
      <x:c r="AB28" s="32"/>
      <x:c r="AC28" s="32"/>
      <x:c r="AD28" s="32"/>
      <x:c r="AE28" s="32"/>
      <x:c r="AF28" s="32"/>
      <x:c r="AG28" s="33"/>
      <x:c r="AH28" s="32"/>
      <x:c r="AI28" s="32"/>
      <x:c r="AJ28" s="32"/>
      <x:c r="AK28" s="32"/>
      <x:c r="AL28" s="32"/>
      <x:c r="AM28" s="33"/>
      <x:c r="AN28" s="32"/>
      <x:c r="AO28" s="32"/>
      <x:c r="AP28" s="32"/>
      <x:c r="AQ28" s="32"/>
      <x:c r="AR28" s="32"/>
      <x:c r="AS28" s="32"/>
      <x:c r="AT28" s="32"/>
      <x:c r="AU28" s="32"/>
      <x:c r="AV28" s="32"/>
      <x:c r="AW28" s="32"/>
      <x:c r="AX28" s="32"/>
    </x:row>
    <x:row r="29" ht="30" customHeight="1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R29" s="32"/>
      <x:c r="S29" s="32"/>
      <x:c r="T29" s="32"/>
      <x:c r="U29" s="32"/>
      <x:c r="V29" s="32"/>
      <x:c r="W29" s="32"/>
      <x:c r="X29" s="32"/>
      <x:c r="Y29" s="32"/>
      <x:c r="Z29" s="32"/>
      <x:c r="AA29" s="32"/>
      <x:c r="AB29" s="32"/>
      <x:c r="AC29" s="32"/>
      <x:c r="AD29" s="32"/>
      <x:c r="AE29" s="32"/>
      <x:c r="AF29" s="32"/>
      <x:c r="AG29" s="33"/>
      <x:c r="AH29" s="32"/>
      <x:c r="AI29" s="32"/>
      <x:c r="AJ29" s="32"/>
      <x:c r="AK29" s="32"/>
      <x:c r="AL29" s="32"/>
      <x:c r="AM29" s="33"/>
      <x:c r="AN29" s="32"/>
      <x:c r="AO29" s="32"/>
      <x:c r="AP29" s="32"/>
      <x:c r="AQ29" s="32"/>
      <x:c r="AR29" s="32"/>
      <x:c r="AS29" s="32"/>
      <x:c r="AT29" s="32"/>
      <x:c r="AU29" s="32"/>
      <x:c r="AV29" s="32"/>
      <x:c r="AW29" s="32"/>
      <x:c r="AX29" s="32"/>
    </x:row>
    <x:row r="30" ht="30" customHeight="1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R30" s="32"/>
      <x:c r="S30" s="32"/>
      <x:c r="T30" s="32"/>
      <x:c r="U30" s="32"/>
      <x:c r="V30" s="32"/>
      <x:c r="W30" s="32"/>
      <x:c r="X30" s="32"/>
      <x:c r="Y30" s="32"/>
      <x:c r="Z30" s="32"/>
      <x:c r="AA30" s="32"/>
      <x:c r="AB30" s="32"/>
      <x:c r="AC30" s="32"/>
      <x:c r="AD30" s="32"/>
      <x:c r="AE30" s="32"/>
      <x:c r="AF30" s="32"/>
      <x:c r="AG30" s="33"/>
      <x:c r="AH30" s="32"/>
      <x:c r="AI30" s="32"/>
      <x:c r="AJ30" s="32"/>
      <x:c r="AK30" s="32"/>
      <x:c r="AL30" s="32"/>
      <x:c r="AM30" s="33"/>
      <x:c r="AN30" s="32"/>
      <x:c r="AO30" s="32"/>
      <x:c r="AP30" s="32"/>
      <x:c r="AQ30" s="32"/>
      <x:c r="AR30" s="32"/>
      <x:c r="AS30" s="32"/>
      <x:c r="AT30" s="32"/>
      <x:c r="AU30" s="32"/>
      <x:c r="AV30" s="32"/>
      <x:c r="AW30" s="32"/>
      <x:c r="AX30" s="32"/>
    </x:row>
    <x:row r="31" ht="30" customHeight="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  <x:c r="R31" s="32"/>
      <x:c r="S31" s="32"/>
      <x:c r="T31" s="32"/>
      <x:c r="U31" s="32"/>
      <x:c r="V31" s="32"/>
      <x:c r="W31" s="32"/>
      <x:c r="X31" s="32"/>
      <x:c r="Y31" s="32"/>
      <x:c r="Z31" s="32"/>
      <x:c r="AA31" s="32"/>
      <x:c r="AB31" s="32"/>
      <x:c r="AC31" s="32"/>
      <x:c r="AD31" s="32"/>
      <x:c r="AE31" s="32"/>
      <x:c r="AF31" s="32"/>
      <x:c r="AG31" s="33"/>
      <x:c r="AH31" s="32"/>
      <x:c r="AI31" s="32"/>
      <x:c r="AJ31" s="32"/>
      <x:c r="AK31" s="32"/>
      <x:c r="AL31" s="32"/>
      <x:c r="AM31" s="33"/>
      <x:c r="AN31" s="32"/>
      <x:c r="AO31" s="32"/>
      <x:c r="AP31" s="32"/>
      <x:c r="AQ31" s="32"/>
      <x:c r="AR31" s="32"/>
      <x:c r="AS31" s="32"/>
      <x:c r="AT31" s="32"/>
      <x:c r="AU31" s="32"/>
      <x:c r="AV31" s="32"/>
      <x:c r="AW31" s="32"/>
      <x:c r="AX31" s="32"/>
    </x:row>
    <x:row r="32" ht="30" customHeight="1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32"/>
      <x:c r="U32" s="32"/>
      <x:c r="V32" s="32"/>
      <x:c r="W32" s="32"/>
      <x:c r="X32" s="32"/>
      <x:c r="Y32" s="32"/>
      <x:c r="Z32" s="32"/>
      <x:c r="AA32" s="32"/>
      <x:c r="AB32" s="32"/>
      <x:c r="AC32" s="32"/>
      <x:c r="AD32" s="32"/>
      <x:c r="AE32" s="32"/>
      <x:c r="AF32" s="32"/>
      <x:c r="AG32" s="33"/>
      <x:c r="AH32" s="32"/>
      <x:c r="AI32" s="32"/>
      <x:c r="AJ32" s="32"/>
      <x:c r="AK32" s="32"/>
      <x:c r="AL32" s="32"/>
      <x:c r="AM32" s="33"/>
      <x:c r="AN32" s="32"/>
      <x:c r="AO32" s="32"/>
      <x:c r="AP32" s="32"/>
      <x:c r="AQ32" s="32"/>
      <x:c r="AR32" s="32"/>
      <x:c r="AS32" s="32"/>
      <x:c r="AT32" s="32"/>
      <x:c r="AU32" s="32"/>
      <x:c r="AV32" s="32"/>
      <x:c r="AW32" s="32"/>
      <x:c r="AX32" s="32"/>
    </x:row>
    <x:row r="33" ht="30" customHeight="1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32"/>
      <x:c r="U33" s="32"/>
      <x:c r="V33" s="32"/>
      <x:c r="W33" s="32"/>
      <x:c r="X33" s="32"/>
      <x:c r="Y33" s="32"/>
      <x:c r="Z33" s="32"/>
      <x:c r="AA33" s="32"/>
      <x:c r="AB33" s="32"/>
      <x:c r="AC33" s="32"/>
      <x:c r="AD33" s="32"/>
      <x:c r="AE33" s="32"/>
      <x:c r="AF33" s="32"/>
      <x:c r="AG33" s="33"/>
      <x:c r="AH33" s="32"/>
      <x:c r="AI33" s="32"/>
      <x:c r="AJ33" s="32"/>
      <x:c r="AK33" s="32"/>
      <x:c r="AL33" s="32"/>
      <x:c r="AM33" s="33"/>
      <x:c r="AN33" s="32"/>
      <x:c r="AO33" s="32"/>
      <x:c r="AP33" s="32"/>
      <x:c r="AQ33" s="32"/>
      <x:c r="AR33" s="32"/>
      <x:c r="AS33" s="32"/>
      <x:c r="AT33" s="32"/>
      <x:c r="AU33" s="32"/>
      <x:c r="AV33" s="32"/>
      <x:c r="AW33" s="32"/>
      <x:c r="AX33" s="32"/>
    </x:row>
    <x:row r="34" ht="30" customHeight="1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  <x:c r="R34" s="32"/>
      <x:c r="S34" s="32"/>
      <x:c r="T34" s="32"/>
      <x:c r="U34" s="32"/>
      <x:c r="V34" s="32"/>
      <x:c r="W34" s="32"/>
      <x:c r="X34" s="32"/>
      <x:c r="Y34" s="32"/>
      <x:c r="Z34" s="32"/>
      <x:c r="AA34" s="32"/>
      <x:c r="AB34" s="32"/>
      <x:c r="AC34" s="32"/>
      <x:c r="AD34" s="32"/>
      <x:c r="AE34" s="32"/>
      <x:c r="AF34" s="32"/>
      <x:c r="AG34" s="33"/>
      <x:c r="AH34" s="32"/>
      <x:c r="AI34" s="32"/>
      <x:c r="AJ34" s="32"/>
      <x:c r="AK34" s="32"/>
      <x:c r="AL34" s="32"/>
      <x:c r="AM34" s="33"/>
      <x:c r="AN34" s="32"/>
      <x:c r="AO34" s="32"/>
      <x:c r="AP34" s="32"/>
      <x:c r="AQ34" s="32"/>
      <x:c r="AR34" s="32"/>
      <x:c r="AS34" s="32"/>
      <x:c r="AT34" s="32"/>
      <x:c r="AU34" s="32"/>
      <x:c r="AV34" s="32"/>
      <x:c r="AW34" s="32"/>
      <x:c r="AX34" s="32"/>
    </x:row>
    <x:row r="35" ht="30" customHeight="1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32"/>
      <x:c r="U35" s="32"/>
      <x:c r="V35" s="32"/>
      <x:c r="W35" s="32"/>
      <x:c r="X35" s="32"/>
      <x:c r="Y35" s="32"/>
      <x:c r="Z35" s="32"/>
      <x:c r="AA35" s="32"/>
      <x:c r="AB35" s="32"/>
      <x:c r="AC35" s="32"/>
      <x:c r="AD35" s="32"/>
      <x:c r="AE35" s="32"/>
      <x:c r="AF35" s="32"/>
      <x:c r="AG35" s="33"/>
      <x:c r="AH35" s="32"/>
      <x:c r="AI35" s="32"/>
      <x:c r="AJ35" s="32"/>
      <x:c r="AK35" s="32"/>
      <x:c r="AL35" s="32"/>
      <x:c r="AM35" s="33"/>
      <x:c r="AN35" s="32"/>
      <x:c r="AO35" s="32"/>
      <x:c r="AP35" s="32"/>
      <x:c r="AQ35" s="32"/>
      <x:c r="AR35" s="32"/>
      <x:c r="AS35" s="32"/>
      <x:c r="AT35" s="32"/>
      <x:c r="AU35" s="32"/>
      <x:c r="AV35" s="32"/>
      <x:c r="AW35" s="32"/>
      <x:c r="AX35" s="32"/>
    </x:row>
    <x:row r="36" ht="30" customHeight="1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2"/>
      <x:c r="T36" s="32"/>
      <x:c r="U36" s="32"/>
      <x:c r="V36" s="32"/>
      <x:c r="W36" s="32"/>
      <x:c r="X36" s="32"/>
      <x:c r="Y36" s="32"/>
      <x:c r="Z36" s="32"/>
      <x:c r="AA36" s="32"/>
      <x:c r="AB36" s="32"/>
      <x:c r="AC36" s="32"/>
      <x:c r="AD36" s="32"/>
      <x:c r="AE36" s="32"/>
      <x:c r="AF36" s="32"/>
      <x:c r="AG36" s="33"/>
      <x:c r="AH36" s="32"/>
      <x:c r="AI36" s="32"/>
      <x:c r="AJ36" s="32"/>
      <x:c r="AK36" s="32"/>
      <x:c r="AL36" s="32"/>
      <x:c r="AM36" s="33"/>
      <x:c r="AN36" s="32"/>
      <x:c r="AO36" s="32"/>
      <x:c r="AP36" s="32"/>
      <x:c r="AQ36" s="32"/>
      <x:c r="AR36" s="32"/>
      <x:c r="AS36" s="32"/>
      <x:c r="AT36" s="32"/>
      <x:c r="AU36" s="32"/>
      <x:c r="AV36" s="32"/>
      <x:c r="AW36" s="32"/>
      <x:c r="AX36" s="32"/>
    </x:row>
    <x:row r="37" ht="30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  <x:c r="S37" s="32"/>
      <x:c r="T37" s="32"/>
      <x:c r="U37" s="32"/>
      <x:c r="V37" s="32"/>
      <x:c r="W37" s="32"/>
      <x:c r="X37" s="32"/>
      <x:c r="Y37" s="32"/>
      <x:c r="Z37" s="32"/>
      <x:c r="AA37" s="32"/>
      <x:c r="AB37" s="32"/>
      <x:c r="AC37" s="32"/>
      <x:c r="AD37" s="32"/>
      <x:c r="AE37" s="32"/>
      <x:c r="AF37" s="32"/>
      <x:c r="AG37" s="33"/>
      <x:c r="AH37" s="32"/>
      <x:c r="AI37" s="32"/>
      <x:c r="AJ37" s="32"/>
      <x:c r="AK37" s="32"/>
      <x:c r="AL37" s="32"/>
      <x:c r="AM37" s="33"/>
      <x:c r="AN37" s="32"/>
      <x:c r="AO37" s="32"/>
      <x:c r="AP37" s="32"/>
      <x:c r="AQ37" s="32"/>
      <x:c r="AR37" s="32"/>
      <x:c r="AS37" s="32"/>
      <x:c r="AT37" s="32"/>
      <x:c r="AU37" s="32"/>
      <x:c r="AV37" s="32"/>
      <x:c r="AW37" s="32"/>
      <x:c r="AX37" s="32"/>
    </x:row>
    <x:row r="38" ht="30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  <x:c r="S38" s="32"/>
      <x:c r="T38" s="32"/>
      <x:c r="U38" s="32"/>
      <x:c r="V38" s="32"/>
      <x:c r="W38" s="32"/>
      <x:c r="X38" s="32"/>
      <x:c r="Y38" s="32"/>
      <x:c r="Z38" s="32"/>
      <x:c r="AA38" s="32"/>
      <x:c r="AB38" s="32"/>
      <x:c r="AC38" s="32"/>
      <x:c r="AD38" s="32"/>
      <x:c r="AE38" s="32"/>
      <x:c r="AF38" s="32"/>
      <x:c r="AG38" s="33"/>
      <x:c r="AH38" s="32"/>
      <x:c r="AI38" s="32"/>
      <x:c r="AJ38" s="32"/>
      <x:c r="AK38" s="32"/>
      <x:c r="AL38" s="32"/>
      <x:c r="AM38" s="33"/>
      <x:c r="AN38" s="32"/>
      <x:c r="AO38" s="32"/>
      <x:c r="AP38" s="32"/>
      <x:c r="AQ38" s="32"/>
      <x:c r="AR38" s="32"/>
      <x:c r="AS38" s="32"/>
      <x:c r="AT38" s="32"/>
      <x:c r="AU38" s="32"/>
      <x:c r="AV38" s="32"/>
      <x:c r="AW38" s="32"/>
      <x:c r="AX38" s="32"/>
    </x:row>
    <x:row r="39" ht="30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  <x:c r="S39" s="32"/>
      <x:c r="T39" s="32"/>
      <x:c r="U39" s="32"/>
      <x:c r="V39" s="32"/>
      <x:c r="W39" s="32"/>
      <x:c r="X39" s="32"/>
      <x:c r="Y39" s="32"/>
      <x:c r="Z39" s="32"/>
      <x:c r="AA39" s="32"/>
      <x:c r="AB39" s="32"/>
      <x:c r="AC39" s="32"/>
      <x:c r="AD39" s="32"/>
      <x:c r="AE39" s="32"/>
      <x:c r="AF39" s="32"/>
      <x:c r="AG39" s="33"/>
      <x:c r="AH39" s="32"/>
      <x:c r="AI39" s="32"/>
      <x:c r="AJ39" s="32"/>
      <x:c r="AK39" s="32"/>
      <x:c r="AL39" s="32"/>
      <x:c r="AM39" s="33"/>
      <x:c r="AN39" s="32"/>
      <x:c r="AO39" s="32"/>
      <x:c r="AP39" s="32"/>
      <x:c r="AQ39" s="32"/>
      <x:c r="AR39" s="32"/>
      <x:c r="AS39" s="32"/>
      <x:c r="AT39" s="32"/>
      <x:c r="AU39" s="32"/>
      <x:c r="AV39" s="32"/>
      <x:c r="AW39" s="32"/>
      <x:c r="AX39" s="32"/>
    </x:row>
    <x:row r="40" ht="19.950000762939453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  <x:c r="S40" s="32"/>
      <x:c r="T40" s="32"/>
      <x:c r="U40" s="32"/>
      <x:c r="V40" s="32"/>
      <x:c r="W40" s="32"/>
      <x:c r="X40" s="32"/>
      <x:c r="Y40" s="32"/>
      <x:c r="Z40" s="32"/>
      <x:c r="AA40" s="32"/>
      <x:c r="AB40" s="32"/>
      <x:c r="AC40" s="32"/>
      <x:c r="AD40" s="32"/>
      <x:c r="AE40" s="32"/>
      <x:c r="AF40" s="32"/>
      <x:c r="AG40" s="33"/>
      <x:c r="AH40" s="32"/>
      <x:c r="AI40" s="32"/>
      <x:c r="AJ40" s="32"/>
      <x:c r="AK40" s="32"/>
      <x:c r="AL40" s="32"/>
      <x:c r="AM40" s="33"/>
      <x:c r="AN40" s="32"/>
      <x:c r="AO40" s="32"/>
      <x:c r="AP40" s="32"/>
      <x:c r="AQ40" s="32"/>
      <x:c r="AR40" s="32"/>
      <x:c r="AS40" s="32"/>
      <x:c r="AT40" s="32"/>
      <x:c r="AU40" s="32"/>
      <x:c r="AV40" s="32"/>
      <x:c r="AW40" s="32"/>
      <x:c r="AX40" s="32"/>
    </x:row>
    <x:row r="41" ht="19.950000762939453" customHeight="1">
      <x:c r="A41" s="31"/>
      <x:c r="B41" s="31"/>
      <x:c r="C41" s="31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  <x:c r="S41" s="32"/>
      <x:c r="T41" s="32"/>
      <x:c r="U41" s="32"/>
      <x:c r="V41" s="32"/>
      <x:c r="W41" s="32"/>
      <x:c r="X41" s="32"/>
      <x:c r="Y41" s="32"/>
      <x:c r="Z41" s="32"/>
      <x:c r="AA41" s="32"/>
      <x:c r="AB41" s="32"/>
      <x:c r="AC41" s="32"/>
      <x:c r="AD41" s="32"/>
      <x:c r="AE41" s="32"/>
      <x:c r="AF41" s="32"/>
      <x:c r="AG41" s="33"/>
      <x:c r="AH41" s="32"/>
      <x:c r="AI41" s="32"/>
      <x:c r="AJ41" s="32"/>
      <x:c r="AK41" s="32"/>
      <x:c r="AL41" s="32"/>
      <x:c r="AM41" s="33"/>
      <x:c r="AN41" s="32"/>
      <x:c r="AO41" s="32"/>
      <x:c r="AP41" s="32"/>
      <x:c r="AQ41" s="32"/>
      <x:c r="AR41" s="32"/>
      <x:c r="AS41" s="32"/>
      <x:c r="AT41" s="32"/>
      <x:c r="AU41" s="32"/>
      <x:c r="AV41" s="32"/>
      <x:c r="AW41" s="32"/>
      <x:c r="AX41" s="32"/>
    </x:row>
    <x:row r="42" ht="19.950000762939453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  <x:c r="S42" s="32"/>
      <x:c r="T42" s="32"/>
      <x:c r="U42" s="32"/>
      <x:c r="V42" s="32"/>
      <x:c r="W42" s="32"/>
      <x:c r="X42" s="32"/>
      <x:c r="Y42" s="32"/>
      <x:c r="Z42" s="32"/>
      <x:c r="AA42" s="32"/>
      <x:c r="AB42" s="32"/>
      <x:c r="AC42" s="32"/>
      <x:c r="AD42" s="32"/>
      <x:c r="AE42" s="32"/>
      <x:c r="AF42" s="32"/>
      <x:c r="AG42" s="33"/>
      <x:c r="AH42" s="32"/>
      <x:c r="AI42" s="32"/>
      <x:c r="AJ42" s="32"/>
      <x:c r="AK42" s="32"/>
      <x:c r="AL42" s="32"/>
      <x:c r="AM42" s="33"/>
      <x:c r="AN42" s="32"/>
      <x:c r="AO42" s="32"/>
      <x:c r="AP42" s="32"/>
      <x:c r="AQ42" s="32"/>
      <x:c r="AR42" s="32"/>
      <x:c r="AS42" s="32"/>
      <x:c r="AT42" s="32"/>
      <x:c r="AU42" s="32"/>
      <x:c r="AV42" s="32"/>
      <x:c r="AW42" s="32"/>
      <x:c r="AX42" s="32"/>
    </x:row>
    <x:row r="43" ht="19.950000762939453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  <x:c r="S43" s="32"/>
      <x:c r="T43" s="32"/>
      <x:c r="U43" s="32"/>
      <x:c r="V43" s="32"/>
      <x:c r="W43" s="32"/>
      <x:c r="X43" s="32"/>
      <x:c r="Y43" s="32"/>
      <x:c r="Z43" s="32"/>
      <x:c r="AA43" s="32"/>
      <x:c r="AB43" s="32"/>
      <x:c r="AC43" s="32"/>
      <x:c r="AD43" s="32"/>
      <x:c r="AE43" s="32"/>
      <x:c r="AF43" s="32"/>
      <x:c r="AG43" s="33"/>
      <x:c r="AH43" s="32"/>
      <x:c r="AI43" s="32"/>
      <x:c r="AJ43" s="32"/>
      <x:c r="AK43" s="32"/>
      <x:c r="AL43" s="32"/>
      <x:c r="AM43" s="33"/>
      <x:c r="AN43" s="32"/>
      <x:c r="AO43" s="32"/>
      <x:c r="AP43" s="32"/>
      <x:c r="AQ43" s="32"/>
      <x:c r="AR43" s="32"/>
      <x:c r="AS43" s="32"/>
      <x:c r="AT43" s="32"/>
      <x:c r="AU43" s="32"/>
      <x:c r="AV43" s="32"/>
      <x:c r="AW43" s="32"/>
      <x:c r="AX43" s="32"/>
    </x:row>
    <x:row r="44" ht="19.950000762939453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  <x:c r="S44" s="32"/>
      <x:c r="T44" s="32"/>
      <x:c r="U44" s="32"/>
      <x:c r="V44" s="32"/>
      <x:c r="W44" s="32"/>
      <x:c r="X44" s="32"/>
      <x:c r="Y44" s="32"/>
      <x:c r="Z44" s="32"/>
      <x:c r="AA44" s="32"/>
      <x:c r="AB44" s="32"/>
      <x:c r="AC44" s="32"/>
      <x:c r="AD44" s="32"/>
      <x:c r="AE44" s="32"/>
      <x:c r="AF44" s="32"/>
      <x:c r="AG44" s="33"/>
      <x:c r="AH44" s="32"/>
      <x:c r="AI44" s="32"/>
      <x:c r="AJ44" s="32"/>
      <x:c r="AK44" s="32"/>
      <x:c r="AL44" s="32"/>
      <x:c r="AM44" s="33"/>
      <x:c r="AN44" s="32"/>
      <x:c r="AO44" s="32"/>
      <x:c r="AP44" s="32"/>
      <x:c r="AQ44" s="32"/>
      <x:c r="AR44" s="32"/>
      <x:c r="AS44" s="32"/>
      <x:c r="AT44" s="32"/>
      <x:c r="AU44" s="32"/>
      <x:c r="AV44" s="32"/>
      <x:c r="AW44" s="32"/>
      <x:c r="AX44" s="32"/>
    </x:row>
    <x:row r="45" ht="19.950000762939453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  <x:c r="S45" s="32"/>
      <x:c r="T45" s="32"/>
      <x:c r="U45" s="32"/>
      <x:c r="V45" s="32"/>
      <x:c r="W45" s="32"/>
      <x:c r="X45" s="32"/>
      <x:c r="Y45" s="32"/>
      <x:c r="Z45" s="32"/>
      <x:c r="AA45" s="32"/>
      <x:c r="AB45" s="32"/>
      <x:c r="AC45" s="32"/>
      <x:c r="AD45" s="32"/>
      <x:c r="AE45" s="32"/>
      <x:c r="AF45" s="32"/>
      <x:c r="AG45" s="33"/>
      <x:c r="AH45" s="32"/>
      <x:c r="AI45" s="32"/>
      <x:c r="AJ45" s="32"/>
      <x:c r="AK45" s="32"/>
      <x:c r="AL45" s="32"/>
      <x:c r="AM45" s="33"/>
      <x:c r="AN45" s="32"/>
      <x:c r="AO45" s="32"/>
      <x:c r="AP45" s="32"/>
      <x:c r="AQ45" s="32"/>
      <x:c r="AR45" s="32"/>
      <x:c r="AS45" s="32"/>
      <x:c r="AT45" s="32"/>
      <x:c r="AU45" s="32"/>
      <x:c r="AV45" s="32"/>
      <x:c r="AW45" s="32"/>
      <x:c r="AX45" s="32"/>
    </x:row>
    <x:row r="46" ht="60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  <x:c r="S46" s="32"/>
      <x:c r="T46" s="32"/>
      <x:c r="U46" s="32"/>
      <x:c r="V46" s="32"/>
      <x:c r="W46" s="32"/>
      <x:c r="X46" s="32"/>
      <x:c r="Y46" s="32"/>
      <x:c r="Z46" s="32"/>
      <x:c r="AA46" s="32"/>
      <x:c r="AB46" s="32"/>
      <x:c r="AC46" s="32"/>
      <x:c r="AD46" s="32"/>
      <x:c r="AE46" s="32"/>
      <x:c r="AF46" s="32"/>
      <x:c r="AG46" s="33"/>
      <x:c r="AH46" s="32"/>
      <x:c r="AI46" s="32"/>
      <x:c r="AJ46" s="32"/>
      <x:c r="AK46" s="32"/>
      <x:c r="AL46" s="32"/>
      <x:c r="AM46" s="33"/>
      <x:c r="AN46" s="32"/>
      <x:c r="AO46" s="32"/>
      <x:c r="AP46" s="32"/>
      <x:c r="AQ46" s="32"/>
      <x:c r="AR46" s="32"/>
      <x:c r="AS46" s="32"/>
      <x:c r="AT46" s="32"/>
      <x:c r="AU46" s="32"/>
      <x:c r="AV46" s="32"/>
      <x:c r="AW46" s="32"/>
      <x:c r="AX46" s="32"/>
    </x:row>
    <x:row r="47" ht="19.950000762939453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  <x:c r="S47" s="32"/>
      <x:c r="T47" s="32"/>
      <x:c r="U47" s="32"/>
      <x:c r="V47" s="32"/>
      <x:c r="W47" s="32"/>
      <x:c r="X47" s="32"/>
      <x:c r="Y47" s="32"/>
      <x:c r="Z47" s="32"/>
      <x:c r="AA47" s="32"/>
      <x:c r="AB47" s="32"/>
      <x:c r="AC47" s="32"/>
      <x:c r="AD47" s="32"/>
      <x:c r="AE47" s="32"/>
      <x:c r="AF47" s="32"/>
      <x:c r="AG47" s="33"/>
      <x:c r="AH47" s="32"/>
      <x:c r="AI47" s="32"/>
      <x:c r="AJ47" s="32"/>
      <x:c r="AK47" s="32"/>
      <x:c r="AL47" s="32"/>
      <x:c r="AM47" s="33"/>
      <x:c r="AN47" s="32"/>
      <x:c r="AO47" s="32"/>
      <x:c r="AP47" s="32"/>
      <x:c r="AQ47" s="32"/>
      <x:c r="AR47" s="32"/>
      <x:c r="AS47" s="32"/>
      <x:c r="AT47" s="32"/>
      <x:c r="AU47" s="32"/>
      <x:c r="AV47" s="32"/>
      <x:c r="AW47" s="32"/>
      <x:c r="AX47" s="32"/>
    </x:row>
    <x:row r="48" ht="19.950000762939453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  <x:c r="S48" s="32"/>
      <x:c r="T48" s="32"/>
      <x:c r="U48" s="32"/>
      <x:c r="V48" s="32"/>
      <x:c r="W48" s="32"/>
      <x:c r="X48" s="32"/>
      <x:c r="Y48" s="32"/>
      <x:c r="Z48" s="32"/>
      <x:c r="AA48" s="32"/>
      <x:c r="AB48" s="32"/>
      <x:c r="AC48" s="32"/>
      <x:c r="AD48" s="32"/>
      <x:c r="AE48" s="32"/>
      <x:c r="AF48" s="32"/>
      <x:c r="AG48" s="33"/>
      <x:c r="AH48" s="32"/>
      <x:c r="AI48" s="32"/>
      <x:c r="AJ48" s="32"/>
      <x:c r="AK48" s="32"/>
      <x:c r="AL48" s="32"/>
      <x:c r="AM48" s="33"/>
      <x:c r="AN48" s="32"/>
      <x:c r="AO48" s="32"/>
      <x:c r="AP48" s="32"/>
      <x:c r="AQ48" s="32"/>
      <x:c r="AR48" s="32"/>
      <x:c r="AS48" s="32"/>
      <x:c r="AT48" s="32"/>
      <x:c r="AU48" s="32"/>
      <x:c r="AV48" s="32"/>
      <x:c r="AW48" s="32"/>
      <x:c r="AX48" s="32"/>
    </x:row>
    <x:row r="49" ht="19.950000762939453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  <x:c r="S49" s="32"/>
      <x:c r="T49" s="32"/>
      <x:c r="U49" s="32"/>
      <x:c r="V49" s="32"/>
      <x:c r="W49" s="32"/>
      <x:c r="X49" s="32"/>
      <x:c r="Y49" s="32"/>
      <x:c r="Z49" s="32"/>
      <x:c r="AA49" s="32"/>
      <x:c r="AB49" s="32"/>
      <x:c r="AC49" s="32"/>
      <x:c r="AD49" s="32"/>
      <x:c r="AE49" s="32"/>
      <x:c r="AF49" s="32"/>
      <x:c r="AG49" s="33"/>
      <x:c r="AH49" s="32"/>
      <x:c r="AI49" s="32"/>
      <x:c r="AJ49" s="32"/>
      <x:c r="AK49" s="32"/>
      <x:c r="AL49" s="32"/>
      <x:c r="AM49" s="33"/>
      <x:c r="AN49" s="32"/>
      <x:c r="AO49" s="32"/>
      <x:c r="AP49" s="32"/>
      <x:c r="AQ49" s="32"/>
      <x:c r="AR49" s="32"/>
      <x:c r="AS49" s="32"/>
      <x:c r="AT49" s="32"/>
      <x:c r="AU49" s="32"/>
      <x:c r="AV49" s="32"/>
      <x:c r="AW49" s="32"/>
      <x:c r="AX49" s="32"/>
    </x:row>
    <x:row r="50" ht="19.950000762939453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  <x:c r="S50" s="32"/>
      <x:c r="T50" s="32"/>
      <x:c r="U50" s="32"/>
      <x:c r="V50" s="32"/>
      <x:c r="W50" s="32"/>
      <x:c r="X50" s="32"/>
      <x:c r="Y50" s="32"/>
      <x:c r="Z50" s="32"/>
      <x:c r="AA50" s="32"/>
      <x:c r="AB50" s="32"/>
      <x:c r="AC50" s="32"/>
      <x:c r="AD50" s="32"/>
      <x:c r="AE50" s="32"/>
      <x:c r="AF50" s="32"/>
      <x:c r="AG50" s="33"/>
      <x:c r="AH50" s="32"/>
      <x:c r="AI50" s="32"/>
      <x:c r="AJ50" s="32"/>
      <x:c r="AK50" s="32"/>
      <x:c r="AL50" s="32"/>
      <x:c r="AM50" s="33"/>
      <x:c r="AN50" s="32"/>
      <x:c r="AO50" s="32"/>
      <x:c r="AP50" s="32"/>
      <x:c r="AQ50" s="32"/>
      <x:c r="AR50" s="32"/>
      <x:c r="AS50" s="32"/>
      <x:c r="AT50" s="32"/>
      <x:c r="AU50" s="32"/>
      <x:c r="AV50" s="32"/>
      <x:c r="AW50" s="32"/>
      <x:c r="AX50" s="32"/>
    </x:row>
    <x:row r="51" ht="19.950000762939453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  <x:c r="S51" s="32"/>
      <x:c r="T51" s="32"/>
      <x:c r="U51" s="32"/>
      <x:c r="V51" s="32"/>
      <x:c r="W51" s="32"/>
      <x:c r="X51" s="32"/>
      <x:c r="Y51" s="32"/>
      <x:c r="Z51" s="32"/>
      <x:c r="AA51" s="32"/>
      <x:c r="AB51" s="32"/>
      <x:c r="AC51" s="32"/>
      <x:c r="AD51" s="32"/>
      <x:c r="AE51" s="32"/>
      <x:c r="AF51" s="32"/>
      <x:c r="AG51" s="33"/>
      <x:c r="AH51" s="32"/>
      <x:c r="AI51" s="32"/>
      <x:c r="AJ51" s="32"/>
      <x:c r="AK51" s="32"/>
      <x:c r="AL51" s="32"/>
      <x:c r="AM51" s="33"/>
      <x:c r="AN51" s="32"/>
      <x:c r="AO51" s="32"/>
      <x:c r="AP51" s="32"/>
      <x:c r="AQ51" s="32"/>
      <x:c r="AR51" s="32"/>
      <x:c r="AS51" s="32"/>
      <x:c r="AT51" s="32"/>
      <x:c r="AU51" s="32"/>
      <x:c r="AV51" s="32"/>
      <x:c r="AW51" s="32"/>
      <x:c r="AX51" s="32"/>
    </x:row>
    <x:row r="52" ht="19.950000762939453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  <x:c r="S52" s="32"/>
      <x:c r="T52" s="32"/>
      <x:c r="U52" s="32"/>
      <x:c r="V52" s="32"/>
      <x:c r="W52" s="32"/>
      <x:c r="X52" s="32"/>
      <x:c r="Y52" s="32"/>
      <x:c r="Z52" s="32"/>
      <x:c r="AA52" s="32"/>
      <x:c r="AB52" s="32"/>
      <x:c r="AC52" s="32"/>
      <x:c r="AD52" s="32"/>
      <x:c r="AE52" s="32"/>
      <x:c r="AF52" s="32"/>
      <x:c r="AG52" s="33"/>
      <x:c r="AH52" s="32"/>
      <x:c r="AI52" s="32"/>
      <x:c r="AJ52" s="32"/>
      <x:c r="AK52" s="32"/>
      <x:c r="AL52" s="32"/>
      <x:c r="AM52" s="33"/>
      <x:c r="AN52" s="32"/>
      <x:c r="AO52" s="32"/>
      <x:c r="AP52" s="32"/>
      <x:c r="AQ52" s="32"/>
      <x:c r="AR52" s="32"/>
      <x:c r="AS52" s="32"/>
      <x:c r="AT52" s="32"/>
      <x:c r="AU52" s="32"/>
      <x:c r="AV52" s="32"/>
      <x:c r="AW52" s="32"/>
      <x:c r="AX52" s="32"/>
    </x:row>
    <x:row r="53" ht="19.950000762939453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  <x:c r="S53" s="32"/>
      <x:c r="T53" s="32"/>
      <x:c r="U53" s="32"/>
      <x:c r="V53" s="32"/>
      <x:c r="W53" s="32"/>
      <x:c r="X53" s="32"/>
      <x:c r="Y53" s="32"/>
      <x:c r="Z53" s="32"/>
      <x:c r="AA53" s="32"/>
      <x:c r="AB53" s="32"/>
      <x:c r="AC53" s="32"/>
      <x:c r="AD53" s="32"/>
      <x:c r="AE53" s="32"/>
      <x:c r="AF53" s="32"/>
      <x:c r="AG53" s="33"/>
      <x:c r="AH53" s="32"/>
      <x:c r="AI53" s="32"/>
      <x:c r="AJ53" s="32"/>
      <x:c r="AK53" s="32"/>
      <x:c r="AL53" s="32"/>
      <x:c r="AM53" s="33"/>
      <x:c r="AN53" s="32"/>
      <x:c r="AO53" s="32"/>
      <x:c r="AP53" s="32"/>
      <x:c r="AQ53" s="32"/>
      <x:c r="AR53" s="32"/>
      <x:c r="AS53" s="32"/>
      <x:c r="AT53" s="32"/>
      <x:c r="AU53" s="32"/>
      <x:c r="AV53" s="32"/>
      <x:c r="AW53" s="32"/>
      <x:c r="AX53" s="3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0.33203125" defaultRowHeight="14.399999618530273"/>
  <x:cols>
    <x:col min="9" max="9" width="10.33203125" style="15" customWidth="1"/>
  </x:cols>
  <x:sheetData>
    <x:row r="1" ht="25.799999237060547" customHeight="1">
      <x:c r="A1" s="62" t="s">
        <x:v>44</x:v>
      </x:c>
      <x:c r="B1" s="51"/>
      <x:c r="C1" s="51"/>
      <x:c r="D1" s="51"/>
      <x:c r="E1" s="51"/>
      <x:c r="F1" s="51"/>
      <x:c r="G1" s="51"/>
      <x:c r="H1" s="51"/>
      <x:c r="I1" s="63"/>
      <x:c r="J1" s="51"/>
      <x:c r="K1" s="51"/>
      <x:c r="L1" s="51"/>
      <x:c r="M1" s="51"/>
      <x:c r="N1" s="51"/>
      <x:c r="O1" s="51"/>
    </x:row>
    <x:row r="2">
      <x:c r="A2" s="67" t="str">
        <x:f>"As of: "&amp;TEXT(_DASH_DATA!B2,"yyyy-mm-dd")&amp;" | Data: FRED | Tool: Python, Excel | Frequency: Weekly"</x:f>
        <x:v>As of:  | Data: FRED | Tool: Python, Excel | Frequency: Weekly</x:v>
      </x:c>
      <x:c r="B2" s="51"/>
      <x:c r="C2" s="51"/>
      <x:c r="D2" s="51"/>
      <x:c r="E2" s="51"/>
      <x:c r="F2" s="51"/>
      <x:c r="G2" s="51"/>
      <x:c r="H2" s="51"/>
      <x:c r="I2" s="63"/>
      <x:c r="J2" s="51"/>
      <x:c r="K2" s="51"/>
      <x:c r="L2" s="51"/>
      <x:c r="M2" s="51"/>
      <x:c r="N2" s="51"/>
      <x:c r="O2" s="51"/>
    </x:row>
    <x:row r="4">
      <x:c r="A4" s="47" t="s">
        <x:v>0</x:v>
      </x:c>
      <x:c r="B4" s="44"/>
      <x:c r="C4" s="44"/>
      <x:c r="D4" s="44"/>
      <x:c r="E4" s="44"/>
      <x:c r="F4" s="44"/>
      <x:c r="G4" s="45"/>
      <x:c r="H4" s="12"/>
      <x:c r="I4" s="14" t="s">
        <x:v>2</x:v>
      </x:c>
      <x:c r="J4" s="14"/>
      <x:c r="K4" s="14"/>
      <x:c r="M4" s="12"/>
      <x:c r="N4" s="12"/>
      <x:c r="O4" s="12"/>
    </x:row>
    <x:row r="5">
      <x:c r="A5" s="50" t="str">
        <x:f>"Portfolio: Equity "&amp;_DASH_DATA!B11&amp;", Duration "&amp;_DASH_DATA!B13&amp;", Cash "&amp;_DASH_DATA!B15&amp;", TIPS "&amp;_DASH_DATA!B17</x:f>
        <x:v>Portfolio: Equity , Duration , Cash , TIPS </x:v>
      </x:c>
      <x:c r="B5" s="44"/>
      <x:c r="C5" s="44"/>
      <x:c r="D5" s="44"/>
      <x:c r="E5" s="44"/>
      <x:c r="F5" s="44"/>
      <x:c r="G5" s="45"/>
      <x:c r="I5" s="13" t="s">
        <x:v>45</x:v>
      </x:c>
      <x:c r="J5" s="13" t="s">
        <x:v>5</x:v>
      </x:c>
      <x:c r="K5" s="13" t="s">
        <x:v>6</x:v>
      </x:c>
    </x:row>
    <x:row r="6">
      <x:c r="A6" s="50" t="str">
        <x:f>"Risk Appetite: "&amp;_DASH_DATA!B3&amp;" — "&amp;IF(_DASH_DATA!B3="Risk-On","no broad risk-stress signals are active",IF(_DASH_DATA!B3="Neutral","some risk-stress signals are active, but not broad-based",IF(_DASH_DATA!B3="Risk-Off","broad risk-stress signals are active","insufficient signal clarity")))</x:f>
        <x:v>Risk Appetite:  — insufficient signal clarity</x:v>
      </x:c>
      <x:c r="B6" s="44"/>
      <x:c r="C6" s="44"/>
      <x:c r="D6" s="44"/>
      <x:c r="E6" s="44"/>
      <x:c r="F6" s="44"/>
      <x:c r="G6" s="45"/>
      <x:c r="I6" s="18" t="s">
        <x:v>46</x:v>
      </x:c>
      <x:c r="J6" s="18" t="n">
        <x:f>_DASH_DATA!B11</x:f>
        <x:v>0</x:v>
      </x:c>
      <x:c r="K6" s="18" t="n">
        <x:f>_DASH_DATA!B12</x:f>
        <x:v>0</x:v>
      </x:c>
    </x:row>
    <x:row r="7">
      <x:c r="A7" s="50" t="str">
        <x:f>"Rates &amp; Inflation: "&amp;_DASH_DATA!B6&amp;" — "&amp;IF(_DASH_DATA!B6="Regime 1","rate pressure elevated and inflation concern elevated",IF(_DASH_DATA!B6="Regime 2","rate pressure elevated, inflation concern not elevated",IF(_DASH_DATA!B6="Regime 3","rate pressure not elevated, inflation concern elevated",IF(_DASH_DATA!B6="Regime 4","rate pressure not elevated and inflation concern not elevated","insufficient signal clarity"))))</x:f>
        <x:v>Rates &amp; Inflation:  — insufficient signal clarity</x:v>
      </x:c>
      <x:c r="B7" s="44"/>
      <x:c r="C7" s="44"/>
      <x:c r="D7" s="44"/>
      <x:c r="E7" s="44"/>
      <x:c r="F7" s="44"/>
      <x:c r="G7" s="45"/>
      <x:c r="I7" s="18" t="s">
        <x:v>47</x:v>
      </x:c>
      <x:c r="J7" s="18" t="n">
        <x:f>_DASH_DATA!B13</x:f>
        <x:v>0</x:v>
      </x:c>
      <x:c r="K7" s="18" t="n">
        <x:f>_DASH_DATA!B14</x:f>
        <x:v>0</x:v>
      </x:c>
    </x:row>
    <x:row r="8">
      <x:c r="A8" s="50" t="str">
        <x:f>"Risk Trend: "&amp;_DASH_DATA!B5&amp;" | Real Yield Tightening: "&amp;_DASH_DATA!B9&amp;" | Confidence: "&amp;_DASH_DATA!B10</x:f>
        <x:v>Risk Trend:  | Real Yield Tightening:  | Confidence: </x:v>
      </x:c>
      <x:c r="B8" s="44"/>
      <x:c r="C8" s="44"/>
      <x:c r="D8" s="44"/>
      <x:c r="E8" s="44"/>
      <x:c r="F8" s="44"/>
      <x:c r="G8" s="45"/>
      <x:c r="I8" s="18" t="s">
        <x:v>48</x:v>
      </x:c>
      <x:c r="J8" s="18" t="n">
        <x:f>_DASH_DATA!B15</x:f>
        <x:v>0</x:v>
      </x:c>
      <x:c r="K8" s="18" t="n">
        <x:f>_DASH_DATA!B16</x:f>
        <x:v>0</x:v>
      </x:c>
    </x:row>
    <x:row r="9">
      <x:c r="A9" s="50" t="str">
        <x:f>"QA Checks: "&amp;IF(ISNUMBER(SEARCH("FAIL",_DASH_DATA!B19)),"Failed",IF(ISNUMBER(SEARCH("WARN",_DASH_DATA!B19)),"Warning","Passed"))&amp;" | Signals are rule-based weekly indicators, not return forecasts."</x:f>
        <x:v>QA Checks: Passed | Signals are rule-based weekly indicators, not return forecasts.</x:v>
      </x:c>
      <x:c r="B9" s="44"/>
      <x:c r="C9" s="44"/>
      <x:c r="D9" s="44"/>
      <x:c r="E9" s="44"/>
      <x:c r="F9" s="44"/>
      <x:c r="G9" s="45"/>
      <x:c r="I9" s="18" t="s">
        <x:v>49</x:v>
      </x:c>
      <x:c r="J9" s="18" t="n">
        <x:f>_DASH_DATA!B17</x:f>
        <x:v>0</x:v>
      </x:c>
      <x:c r="K9" s="18" t="n">
        <x:f>_DASH_DATA!B18</x:f>
        <x:v>0</x:v>
      </x:c>
    </x:row>
    <x:row r="10">
      <x:c r="A10" s="58" t="s">
        <x:v>14</x:v>
      </x:c>
      <x:c r="B10" s="51"/>
      <x:c r="C10" s="51"/>
      <x:c r="D10" s="51"/>
      <x:c r="E10" s="51"/>
      <x:c r="F10" s="51"/>
      <x:c r="G10" s="51"/>
      <x:c r="H10" s="51"/>
    </x:row>
    <x:row r="11">
      <x:c r="A11" s="58" t="s">
        <x:v>50</x:v>
      </x:c>
      <x:c r="B11" s="51"/>
      <x:c r="C11" s="51"/>
      <x:c r="D11" s="51"/>
      <x:c r="E11" s="51"/>
      <x:c r="F11" s="51"/>
      <x:c r="G11" s="51"/>
      <x:c r="H11" s="51"/>
    </x:row>
    <x:row r="13">
      <x:c r="A13" s="66" t="s">
        <x:v>51</x:v>
      </x:c>
      <x:c r="B13" s="51"/>
      <x:c r="C13" s="51"/>
      <x:c r="D13" s="51"/>
      <x:c r="E13" s="51"/>
      <x:c r="F13" s="51"/>
      <x:c r="G13" s="51"/>
      <x:c r="I13" s="66" t="s">
        <x:v>52</x:v>
      </x:c>
      <x:c r="J13" s="51"/>
      <x:c r="K13" s="51"/>
      <x:c r="L13" s="51"/>
      <x:c r="M13" s="51"/>
      <x:c r="N13" s="51"/>
      <x:c r="O13" s="51"/>
    </x:row>
    <x:row r="28">
      <x:c r="A28" s="58" t="str">
        <x:f>"Latest observation: "&amp;TEXT(_DASH_DATA!D105,"yyyy-mm-dd")&amp;", Score "&amp;_DASH_DATA!H105</x:f>
        <x:v>Latest observation: , Score </x:v>
      </x:c>
      <x:c r="B28" s="51"/>
      <x:c r="C28" s="51"/>
      <x:c r="D28" s="51"/>
      <x:c r="E28" s="51"/>
      <x:c r="F28" s="51"/>
      <x:c r="G28" s="51"/>
      <x:c r="I28" s="58" t="s">
        <x:v>50</x:v>
      </x:c>
      <x:c r="J28" s="51"/>
      <x:c r="K28" s="51"/>
      <x:c r="L28" s="51"/>
      <x:c r="M28" s="51"/>
      <x:c r="N28" s="51"/>
      <x:c r="O28" s="51"/>
    </x:row>
    <x:row r="29">
      <x:c r="A29" s="11"/>
      <x:c r="I29" s="11"/>
    </x:row>
    <x:row r="30">
      <x:c r="A30" s="66" t="s">
        <x:v>53</x:v>
      </x:c>
      <x:c r="B30" s="51"/>
      <x:c r="C30" s="51"/>
      <x:c r="D30" s="51"/>
      <x:c r="E30" s="51"/>
      <x:c r="F30" s="51"/>
      <x:c r="G30" s="51"/>
      <x:c r="I30" s="66" t="s">
        <x:v>54</x:v>
      </x:c>
      <x:c r="J30" s="51"/>
      <x:c r="K30" s="51"/>
      <x:c r="L30" s="51"/>
      <x:c r="M30" s="51"/>
      <x:c r="N30" s="51"/>
      <x:c r="O30" s="51"/>
    </x:row>
    <x:row r="44">
      <x:c r="I44" s="63" t="s">
        <x:v>55</x:v>
      </x:c>
      <x:c r="J44" s="51"/>
      <x:c r="K44" s="51"/>
      <x:c r="L44" s="51"/>
      <x:c r="M44" s="51"/>
      <x:c r="N44" s="51"/>
      <x:c r="O44" s="51"/>
    </x:row>
    <x:row r="45">
      <x:c r="A45" s="58" t="s">
        <x:v>56</x:v>
      </x:c>
      <x:c r="B45" s="51"/>
      <x:c r="C45" s="51"/>
      <x:c r="D45" s="51"/>
      <x:c r="E45" s="51"/>
      <x:c r="F45" s="51"/>
      <x:c r="G45" s="51"/>
      <x:c r="I45" s="63"/>
      <x:c r="J45" s="51"/>
      <x:c r="K45" s="51"/>
      <x:c r="L45" s="51"/>
      <x:c r="M45" s="51"/>
      <x:c r="N45" s="51"/>
      <x:c r="O45" s="51"/>
    </x:row>
    <x:row r="47">
      <x:c r="A47" s="66" t="s">
        <x:v>57</x:v>
      </x:c>
      <x:c r="B47" s="51"/>
      <x:c r="C47" s="51"/>
      <x:c r="D47" s="51"/>
      <x:c r="E47" s="51"/>
      <x:c r="F47" s="51"/>
      <x:c r="G47" s="51"/>
      <x:c r="I47" s="66" t="s">
        <x:v>58</x:v>
      </x:c>
      <x:c r="J47" s="51"/>
      <x:c r="K47" s="51"/>
      <x:c r="L47" s="51"/>
      <x:c r="M47" s="51"/>
      <x:c r="N47" s="51"/>
      <x:c r="O47" s="51"/>
    </x:row>
    <x:row r="62">
      <x:c r="A62" s="65" t="s">
        <x:v>59</x:v>
      </x:c>
      <x:c r="B62" s="51"/>
      <x:c r="C62" s="51"/>
      <x:c r="D62" s="51"/>
      <x:c r="E62" s="51"/>
      <x:c r="F62" s="51"/>
      <x:c r="G62" s="51"/>
      <x:c r="I62" s="65" t="s">
        <x:v>60</x:v>
      </x:c>
      <x:c r="J62" s="51"/>
      <x:c r="K62" s="51"/>
      <x:c r="L62" s="51"/>
      <x:c r="M62" s="51"/>
      <x:c r="N62" s="51"/>
      <x:c r="O62" s="51"/>
    </x:row>
    <x:row r="64" ht="14.399999618530273" customHeight="1">
      <x:c r="A64" s="66" t="s">
        <x:v>61</x:v>
      </x:c>
      <x:c r="B64" s="51"/>
      <x:c r="C64" s="51"/>
      <x:c r="D64" s="51"/>
      <x:c r="E64" s="51"/>
      <x:c r="F64" s="51"/>
      <x:c r="G64" s="51"/>
      <x:c r="H64" s="51"/>
      <x:c r="I64" s="63"/>
      <x:c r="J64" s="51"/>
      <x:c r="K64" s="51"/>
      <x:c r="L64" s="51"/>
      <x:c r="M64" s="51"/>
      <x:c r="N64" s="51"/>
      <x:c r="O64" s="51"/>
    </x:row>
    <x:row r="65">
      <x:c r="A65" s="64" t="s">
        <x:v>62</x:v>
      </x:c>
      <x:c r="B65" s="51"/>
      <x:c r="C65" s="51"/>
      <x:c r="D65" s="51"/>
      <x:c r="E65" s="51"/>
      <x:c r="F65" s="51"/>
      <x:c r="G65" s="51"/>
      <x:c r="H65" s="51"/>
      <x:c r="I65" s="63"/>
      <x:c r="J65" s="51"/>
      <x:c r="K65" s="51"/>
      <x:c r="L65" s="51"/>
      <x:c r="M65" s="51"/>
      <x:c r="N65" s="51"/>
      <x:c r="O65" s="51"/>
    </x:row>
    <x:row r="66">
      <x:c r="A66" s="51"/>
      <x:c r="B66" s="51"/>
      <x:c r="C66" s="51"/>
      <x:c r="D66" s="51"/>
      <x:c r="E66" s="51"/>
      <x:c r="F66" s="51"/>
      <x:c r="G66" s="51"/>
      <x:c r="H66" s="51"/>
      <x:c r="I66" s="63"/>
      <x:c r="J66" s="51"/>
      <x:c r="K66" s="51"/>
      <x:c r="L66" s="51"/>
      <x:c r="M66" s="51"/>
      <x:c r="N66" s="51"/>
      <x:c r="O66" s="51"/>
    </x:row>
    <x:row r="67">
      <x:c r="A67" s="51"/>
      <x:c r="B67" s="51"/>
      <x:c r="C67" s="51"/>
      <x:c r="D67" s="51"/>
      <x:c r="E67" s="51"/>
      <x:c r="F67" s="51"/>
      <x:c r="G67" s="51"/>
      <x:c r="H67" s="51"/>
      <x:c r="I67" s="63"/>
      <x:c r="J67" s="51"/>
      <x:c r="K67" s="51"/>
      <x:c r="L67" s="51"/>
      <x:c r="M67" s="51"/>
      <x:c r="N67" s="51"/>
      <x:c r="O67" s="51"/>
    </x:row>
    <x:row r="68">
      <x:c r="A68" s="51"/>
      <x:c r="B68" s="51"/>
      <x:c r="C68" s="51"/>
      <x:c r="D68" s="51"/>
      <x:c r="E68" s="51"/>
      <x:c r="F68" s="51"/>
      <x:c r="G68" s="51"/>
      <x:c r="H68" s="51"/>
      <x:c r="I68" s="63"/>
      <x:c r="J68" s="51"/>
      <x:c r="K68" s="51"/>
      <x:c r="L68" s="51"/>
      <x:c r="M68" s="51"/>
      <x:c r="N68" s="51"/>
      <x:c r="O68" s="51"/>
    </x:row>
    <x:row r="69">
      <x:c r="A69" s="51"/>
      <x:c r="B69" s="51"/>
      <x:c r="C69" s="51"/>
      <x:c r="D69" s="51"/>
      <x:c r="E69" s="51"/>
      <x:c r="F69" s="51"/>
      <x:c r="G69" s="51"/>
      <x:c r="H69" s="51"/>
      <x:c r="I69" s="63"/>
      <x:c r="J69" s="51"/>
      <x:c r="K69" s="51"/>
      <x:c r="L69" s="51"/>
      <x:c r="M69" s="51"/>
      <x:c r="N69" s="51"/>
      <x:c r="O69" s="51"/>
    </x:row>
    <x:row r="70">
      <x:c r="A70" s="51"/>
      <x:c r="B70" s="51"/>
      <x:c r="C70" s="51"/>
      <x:c r="D70" s="51"/>
      <x:c r="E70" s="51"/>
      <x:c r="F70" s="51"/>
      <x:c r="G70" s="51"/>
      <x:c r="H70" s="51"/>
      <x:c r="I70" s="63"/>
      <x:c r="J70" s="51"/>
      <x:c r="K70" s="51"/>
      <x:c r="L70" s="51"/>
      <x:c r="M70" s="51"/>
      <x:c r="N70" s="51"/>
      <x:c r="O70" s="51"/>
    </x:row>
    <x:row r="71">
      <x:c r="A71" s="16"/>
    </x:row>
  </x:sheetData>
  <x:mergeCells>
    <x:mergeCell ref="A30:G30"/>
    <x:mergeCell ref="A6:G6"/>
    <x:mergeCell ref="A8:G8"/>
    <x:mergeCell ref="A4:G4"/>
    <x:mergeCell ref="A62:G62"/>
    <x:mergeCell ref="A11:H11"/>
    <x:mergeCell ref="A28:G28"/>
    <x:mergeCell ref="A45:G45"/>
    <x:mergeCell ref="A1:O1"/>
    <x:mergeCell ref="A65:O70"/>
    <x:mergeCell ref="I62:O62"/>
    <x:mergeCell ref="A47:G47"/>
    <x:mergeCell ref="A5:G5"/>
    <x:mergeCell ref="I47:O47"/>
    <x:mergeCell ref="A7:G7"/>
    <x:mergeCell ref="I28:O28"/>
    <x:mergeCell ref="I44:O45"/>
    <x:mergeCell ref="A64:O64"/>
    <x:mergeCell ref="A10:H10"/>
    <x:mergeCell ref="I13:O13"/>
    <x:mergeCell ref="A13:G13"/>
    <x:mergeCell ref="A2:O2"/>
    <x:mergeCell ref="A9:G9"/>
    <x:mergeCell ref="I30:O30"/>
  </x:mergeCells>
  <x:pageMargins left="0.7" right="0.7" top="0.75" bottom="0.75" header="0.3" footer="0.3"/>
  <x:drawing xmlns:r="http://schemas.openxmlformats.org/officeDocument/2006/relationships" r:id="Rbf0d10c8b27e4f4f"/>
</x:worksheet>
</file>

<file path=xl/worksheets/sheet5.xml><?xml version="1.0" encoding="utf-8"?>
<x:worksheet xmlns:x="http://schemas.openxmlformats.org/spreadsheetml/2006/main">
  <x:sheetFormatPr defaultRowHeight="14.399999618530273"/>
  <x:cols>
    <x:col min="1" max="1" width="24" customWidth="1"/>
    <x:col min="2" max="2" width="60" customWidth="1"/>
    <x:col min="3" max="5" width="12" customWidth="1"/>
    <x:col min="6" max="6" width="29" customWidth="1"/>
    <x:col min="7" max="7" width="30" customWidth="1"/>
    <x:col min="8" max="8" width="18" customWidth="1"/>
    <x:col min="9" max="9" width="17" customWidth="1"/>
    <x:col min="10" max="11" width="12" customWidth="1"/>
    <x:col min="12" max="12" width="17" customWidth="1"/>
    <x:col min="13" max="13" width="24" customWidth="1"/>
    <x:col min="14" max="14" width="22" customWidth="1"/>
    <x:col min="15" max="15" width="26" customWidth="1"/>
    <x:col min="16" max="20" width="12" customWidth="1"/>
    <x:col min="21" max="21" width="14" customWidth="1"/>
    <x:col min="22" max="27" width="12" customWidth="1"/>
    <x:col min="28" max="28" width="15" customWidth="1"/>
    <x:col min="29" max="34" width="12" customWidth="1"/>
    <x:col min="35" max="35" width="15" customWidth="1"/>
    <x:col min="36" max="38" width="12" customWidth="1"/>
    <x:col min="39" max="39" width="13" customWidth="1"/>
    <x:col min="40" max="40" width="12" customWidth="1"/>
    <x:col min="41" max="41" width="20" customWidth="1"/>
    <x:col min="42" max="43" width="12" customWidth="1"/>
    <x:col min="44" max="44" width="13" customWidth="1"/>
    <x:col min="45" max="45" width="20" customWidth="1"/>
    <x:col min="46" max="47" width="17" customWidth="1"/>
    <x:col min="48" max="48" width="14" customWidth="1"/>
    <x:col min="49" max="49" width="32" customWidth="1"/>
  </x:cols>
  <x:sheetData>
    <x:row r="1">
      <x:c r="A1" s="3"/>
      <x:c r="B1" s="3"/>
      <x:c r="C1" s="3"/>
      <x:c r="D1" s="4"/>
      <x:c r="E1" s="3"/>
      <x:c r="F1" s="3"/>
      <x:c r="G1" s="3"/>
      <x:c r="H1" s="3"/>
      <x:c r="I1" s="3"/>
      <x:c r="J1" s="3"/>
      <x:c r="K1" s="4"/>
      <x:c r="L1" s="3"/>
      <x:c r="M1" s="3"/>
      <x:c r="N1" s="3"/>
      <x:c r="O1" s="3"/>
      <x:c r="P1" s="3"/>
      <x:c r="Q1" s="4"/>
      <x:c r="R1" s="3"/>
      <x:c r="S1" s="3"/>
      <x:c r="T1" s="3"/>
      <x:c r="U1" s="3"/>
      <x:c r="V1" s="3"/>
      <x:c r="W1" s="3"/>
      <x:c r="X1" s="4"/>
      <x:c r="Y1" s="3"/>
      <x:c r="Z1" s="3"/>
      <x:c r="AA1" s="3"/>
      <x:c r="AB1" s="3"/>
      <x:c r="AC1" s="3"/>
      <x:c r="AD1" s="3"/>
      <x:c r="AE1" s="4"/>
      <x:c r="AF1" s="3"/>
      <x:c r="AG1" s="3"/>
      <x:c r="AH1" s="3"/>
      <x:c r="AI1" s="3"/>
      <x:c r="AJ1" s="3"/>
      <x:c r="AK1" s="3"/>
      <x:c r="AL1" s="4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</x:row>
    <x:row r="2">
      <x:c r="A2"/>
      <x:c r="B2" s="9"/>
      <x:c r="D2" s="10"/>
      <x:c r="E2"/>
      <x:c r="F2"/>
      <x:c r="G2"/>
      <x:c r="I2"/>
      <x:c r="K2" s="10"/>
      <x:c r="L2"/>
      <x:c r="N2"/>
      <x:c r="O2"/>
      <x:c r="Q2" s="10"/>
      <x:c r="R2"/>
      <x:c r="S2"/>
      <x:c r="T2"/>
      <x:c r="V2"/>
      <x:c r="X2" s="10"/>
      <x:c r="Y2"/>
      <x:c r="Z2"/>
      <x:c r="AA2"/>
      <x:c r="AC2"/>
      <x:c r="AE2" s="10"/>
      <x:c r="AF2"/>
      <x:c r="AG2"/>
      <x:c r="AH2"/>
      <x:c r="AJ2"/>
      <x:c r="AL2" s="10"/>
      <x:c r="AM2"/>
      <x:c r="AN2"/>
      <x:c r="AQ2"/>
      <x:c r="AR2"/>
      <x:c r="AS2"/>
      <x:c r="AT2"/>
      <x:c r="AU2"/>
      <x:c r="AV2"/>
      <x:c r="AW2"/>
    </x:row>
    <x:row r="3">
      <x:c r="A3"/>
      <x:c r="B3"/>
      <x:c r="D3" s="10"/>
      <x:c r="E3"/>
      <x:c r="F3"/>
      <x:c r="G3"/>
      <x:c r="I3"/>
      <x:c r="K3" s="10"/>
      <x:c r="L3"/>
      <x:c r="N3"/>
      <x:c r="O3"/>
      <x:c r="Q3" s="10"/>
      <x:c r="R3"/>
      <x:c r="S3"/>
      <x:c r="T3"/>
      <x:c r="V3"/>
      <x:c r="X3" s="10"/>
      <x:c r="Y3"/>
      <x:c r="Z3"/>
      <x:c r="AA3"/>
      <x:c r="AC3"/>
      <x:c r="AE3" s="10"/>
      <x:c r="AF3"/>
      <x:c r="AG3"/>
      <x:c r="AH3"/>
      <x:c r="AJ3"/>
      <x:c r="AL3" s="10"/>
      <x:c r="AM3"/>
      <x:c r="AN3"/>
      <x:c r="AQ3"/>
      <x:c r="AR3"/>
      <x:c r="AS3"/>
      <x:c r="AT3"/>
      <x:c r="AU3"/>
      <x:c r="AV3"/>
      <x:c r="AW3"/>
    </x:row>
    <x:row r="4">
      <x:c r="A4"/>
      <x:c r="B4"/>
      <x:c r="D4" s="10"/>
      <x:c r="E4"/>
      <x:c r="F4"/>
      <x:c r="G4"/>
      <x:c r="I4"/>
      <x:c r="K4" s="10"/>
      <x:c r="L4"/>
      <x:c r="N4"/>
      <x:c r="O4"/>
      <x:c r="Q4" s="10"/>
      <x:c r="R4"/>
      <x:c r="S4"/>
      <x:c r="T4"/>
      <x:c r="V4"/>
      <x:c r="X4" s="10"/>
      <x:c r="Y4"/>
      <x:c r="Z4"/>
      <x:c r="AA4"/>
      <x:c r="AC4"/>
      <x:c r="AE4" s="10"/>
      <x:c r="AF4"/>
      <x:c r="AG4"/>
      <x:c r="AH4"/>
      <x:c r="AJ4"/>
      <x:c r="AL4" s="10"/>
      <x:c r="AM4"/>
      <x:c r="AN4"/>
      <x:c r="AQ4"/>
      <x:c r="AR4"/>
      <x:c r="AS4"/>
      <x:c r="AT4"/>
      <x:c r="AU4"/>
      <x:c r="AV4"/>
      <x:c r="AW4"/>
    </x:row>
    <x:row r="5">
      <x:c r="A5"/>
      <x:c r="B5"/>
      <x:c r="D5" s="10"/>
      <x:c r="E5"/>
      <x:c r="F5"/>
      <x:c r="G5"/>
      <x:c r="I5"/>
      <x:c r="K5" s="10"/>
      <x:c r="L5"/>
      <x:c r="N5"/>
      <x:c r="O5"/>
      <x:c r="Q5" s="10"/>
      <x:c r="R5"/>
      <x:c r="S5"/>
      <x:c r="T5"/>
      <x:c r="V5"/>
      <x:c r="X5" s="10"/>
      <x:c r="Y5"/>
      <x:c r="Z5"/>
      <x:c r="AA5"/>
      <x:c r="AC5"/>
      <x:c r="AE5" s="10"/>
      <x:c r="AF5"/>
      <x:c r="AG5"/>
      <x:c r="AH5"/>
      <x:c r="AJ5"/>
      <x:c r="AL5" s="10"/>
      <x:c r="AM5"/>
      <x:c r="AN5"/>
      <x:c r="AQ5"/>
      <x:c r="AR5"/>
      <x:c r="AS5"/>
      <x:c r="AT5"/>
      <x:c r="AU5"/>
      <x:c r="AV5"/>
      <x:c r="AW5"/>
    </x:row>
    <x:row r="6">
      <x:c r="A6"/>
      <x:c r="B6"/>
      <x:c r="D6" s="10"/>
      <x:c r="E6"/>
      <x:c r="F6"/>
      <x:c r="G6"/>
      <x:c r="I6"/>
      <x:c r="K6" s="10"/>
      <x:c r="L6"/>
      <x:c r="N6"/>
      <x:c r="O6"/>
      <x:c r="Q6" s="10"/>
      <x:c r="R6"/>
      <x:c r="S6"/>
      <x:c r="T6"/>
      <x:c r="V6"/>
      <x:c r="X6" s="10"/>
      <x:c r="Y6"/>
      <x:c r="Z6"/>
      <x:c r="AA6"/>
      <x:c r="AC6"/>
      <x:c r="AE6" s="10"/>
      <x:c r="AF6"/>
      <x:c r="AG6"/>
      <x:c r="AH6"/>
      <x:c r="AJ6"/>
      <x:c r="AL6" s="10"/>
      <x:c r="AM6"/>
      <x:c r="AN6"/>
      <x:c r="AQ6"/>
      <x:c r="AR6"/>
      <x:c r="AS6"/>
      <x:c r="AT6"/>
      <x:c r="AU6"/>
      <x:c r="AV6"/>
      <x:c r="AW6"/>
    </x:row>
    <x:row r="7">
      <x:c r="A7"/>
      <x:c r="B7"/>
      <x:c r="D7" s="10"/>
      <x:c r="E7"/>
      <x:c r="F7"/>
      <x:c r="G7"/>
      <x:c r="I7"/>
      <x:c r="K7" s="10"/>
      <x:c r="L7"/>
      <x:c r="N7"/>
      <x:c r="O7"/>
      <x:c r="Q7" s="10"/>
      <x:c r="R7"/>
      <x:c r="S7"/>
      <x:c r="T7"/>
      <x:c r="V7"/>
      <x:c r="X7" s="10"/>
      <x:c r="Y7"/>
      <x:c r="Z7"/>
      <x:c r="AA7"/>
      <x:c r="AC7"/>
      <x:c r="AE7" s="10"/>
      <x:c r="AF7"/>
      <x:c r="AG7"/>
      <x:c r="AH7"/>
      <x:c r="AJ7"/>
      <x:c r="AL7" s="10"/>
      <x:c r="AM7"/>
      <x:c r="AN7"/>
      <x:c r="AQ7"/>
      <x:c r="AR7"/>
      <x:c r="AS7"/>
      <x:c r="AT7"/>
      <x:c r="AU7"/>
      <x:c r="AV7"/>
      <x:c r="AW7"/>
    </x:row>
    <x:row r="8">
      <x:c r="A8"/>
      <x:c r="B8"/>
      <x:c r="D8" s="10"/>
      <x:c r="E8"/>
      <x:c r="F8"/>
      <x:c r="G8"/>
      <x:c r="I8"/>
      <x:c r="K8" s="10"/>
      <x:c r="L8"/>
      <x:c r="N8"/>
      <x:c r="O8"/>
      <x:c r="Q8" s="10"/>
      <x:c r="R8"/>
      <x:c r="S8"/>
      <x:c r="T8"/>
      <x:c r="V8"/>
      <x:c r="X8" s="10"/>
      <x:c r="Y8"/>
      <x:c r="Z8"/>
      <x:c r="AA8"/>
      <x:c r="AC8"/>
      <x:c r="AE8" s="10"/>
      <x:c r="AF8"/>
      <x:c r="AG8"/>
      <x:c r="AH8"/>
      <x:c r="AJ8"/>
      <x:c r="AL8" s="10"/>
      <x:c r="AM8"/>
      <x:c r="AN8"/>
      <x:c r="AQ8"/>
      <x:c r="AR8"/>
      <x:c r="AS8"/>
      <x:c r="AT8"/>
      <x:c r="AU8"/>
      <x:c r="AV8"/>
      <x:c r="AW8"/>
    </x:row>
    <x:row r="9">
      <x:c r="A9"/>
      <x:c r="B9"/>
      <x:c r="D9" s="10"/>
      <x:c r="E9"/>
      <x:c r="F9"/>
      <x:c r="G9"/>
      <x:c r="I9"/>
      <x:c r="K9" s="10"/>
      <x:c r="L9"/>
      <x:c r="N9"/>
      <x:c r="O9"/>
      <x:c r="Q9" s="10"/>
      <x:c r="R9"/>
      <x:c r="S9"/>
      <x:c r="T9"/>
      <x:c r="V9"/>
      <x:c r="X9" s="10"/>
      <x:c r="Y9"/>
      <x:c r="Z9"/>
      <x:c r="AA9"/>
      <x:c r="AC9"/>
      <x:c r="AE9" s="10"/>
      <x:c r="AF9"/>
      <x:c r="AG9"/>
      <x:c r="AH9"/>
      <x:c r="AJ9"/>
      <x:c r="AL9" s="10"/>
      <x:c r="AM9"/>
      <x:c r="AN9"/>
    </x:row>
    <x:row r="10">
      <x:c r="A10"/>
      <x:c r="B10"/>
      <x:c r="D10" s="10"/>
      <x:c r="E10"/>
      <x:c r="F10"/>
      <x:c r="G10"/>
      <x:c r="I10"/>
      <x:c r="K10" s="10"/>
      <x:c r="L10"/>
      <x:c r="N10"/>
      <x:c r="O10"/>
      <x:c r="Q10" s="10"/>
      <x:c r="R10"/>
      <x:c r="S10"/>
      <x:c r="T10"/>
      <x:c r="V10"/>
      <x:c r="X10" s="10"/>
      <x:c r="Y10"/>
      <x:c r="Z10"/>
      <x:c r="AA10"/>
      <x:c r="AC10"/>
      <x:c r="AE10" s="10"/>
      <x:c r="AF10"/>
      <x:c r="AG10"/>
      <x:c r="AH10"/>
      <x:c r="AJ10"/>
      <x:c r="AL10" s="10"/>
      <x:c r="AM10"/>
      <x:c r="AN10"/>
    </x:row>
    <x:row r="11">
      <x:c r="A11"/>
      <x:c r="B11"/>
      <x:c r="D11" s="10"/>
      <x:c r="E11"/>
      <x:c r="F11"/>
      <x:c r="G11"/>
      <x:c r="I11"/>
      <x:c r="K11" s="10"/>
      <x:c r="L11"/>
      <x:c r="N11"/>
      <x:c r="O11"/>
      <x:c r="Q11" s="10"/>
      <x:c r="R11"/>
      <x:c r="S11"/>
      <x:c r="T11"/>
      <x:c r="V11"/>
      <x:c r="X11" s="10"/>
      <x:c r="Y11"/>
      <x:c r="Z11"/>
      <x:c r="AA11"/>
      <x:c r="AC11"/>
      <x:c r="AE11" s="10"/>
      <x:c r="AF11"/>
      <x:c r="AG11"/>
      <x:c r="AH11"/>
      <x:c r="AJ11"/>
      <x:c r="AL11" s="10"/>
      <x:c r="AM11"/>
      <x:c r="AN11"/>
    </x:row>
    <x:row r="12">
      <x:c r="A12"/>
      <x:c r="B12"/>
      <x:c r="D12" s="10"/>
      <x:c r="E12"/>
      <x:c r="F12"/>
      <x:c r="G12"/>
      <x:c r="I12"/>
      <x:c r="K12" s="10"/>
      <x:c r="L12"/>
      <x:c r="N12"/>
      <x:c r="O12"/>
      <x:c r="Q12" s="10"/>
      <x:c r="R12"/>
      <x:c r="S12"/>
      <x:c r="T12"/>
      <x:c r="V12"/>
      <x:c r="X12" s="10"/>
      <x:c r="Y12"/>
      <x:c r="Z12"/>
      <x:c r="AA12"/>
      <x:c r="AC12"/>
      <x:c r="AE12" s="10"/>
      <x:c r="AF12"/>
      <x:c r="AG12"/>
      <x:c r="AH12"/>
      <x:c r="AJ12"/>
      <x:c r="AL12" s="10"/>
      <x:c r="AM12"/>
      <x:c r="AN12"/>
    </x:row>
    <x:row r="13">
      <x:c r="A13"/>
      <x:c r="B13"/>
      <x:c r="D13" s="10"/>
      <x:c r="E13"/>
      <x:c r="F13"/>
      <x:c r="G13"/>
      <x:c r="I13"/>
      <x:c r="K13" s="10"/>
      <x:c r="L13"/>
      <x:c r="N13"/>
      <x:c r="O13"/>
      <x:c r="Q13" s="10"/>
      <x:c r="R13"/>
      <x:c r="S13"/>
      <x:c r="T13"/>
      <x:c r="V13"/>
      <x:c r="X13" s="10"/>
      <x:c r="Y13"/>
      <x:c r="Z13"/>
      <x:c r="AA13"/>
      <x:c r="AC13"/>
      <x:c r="AE13" s="10"/>
      <x:c r="AF13"/>
      <x:c r="AG13"/>
      <x:c r="AH13"/>
      <x:c r="AJ13"/>
      <x:c r="AL13" s="10"/>
      <x:c r="AM13"/>
      <x:c r="AN13"/>
    </x:row>
    <x:row r="14">
      <x:c r="A14"/>
      <x:c r="B14"/>
      <x:c r="D14" s="10"/>
      <x:c r="E14"/>
      <x:c r="F14"/>
      <x:c r="G14"/>
      <x:c r="I14"/>
      <x:c r="K14" s="10"/>
      <x:c r="L14"/>
      <x:c r="N14"/>
      <x:c r="O14"/>
      <x:c r="Q14" s="10"/>
      <x:c r="R14"/>
      <x:c r="S14"/>
      <x:c r="T14"/>
      <x:c r="V14"/>
      <x:c r="X14" s="10"/>
      <x:c r="Y14"/>
      <x:c r="Z14"/>
      <x:c r="AA14"/>
      <x:c r="AC14"/>
      <x:c r="AE14" s="10"/>
      <x:c r="AF14"/>
      <x:c r="AG14"/>
      <x:c r="AH14"/>
      <x:c r="AJ14"/>
      <x:c r="AL14" s="10"/>
      <x:c r="AM14"/>
      <x:c r="AN14"/>
    </x:row>
    <x:row r="15">
      <x:c r="A15"/>
      <x:c r="B15"/>
      <x:c r="D15" s="10"/>
      <x:c r="E15"/>
      <x:c r="F15"/>
      <x:c r="G15"/>
      <x:c r="I15"/>
      <x:c r="K15" s="10"/>
      <x:c r="L15"/>
      <x:c r="N15"/>
      <x:c r="O15"/>
      <x:c r="Q15" s="10"/>
      <x:c r="R15"/>
      <x:c r="S15"/>
      <x:c r="T15"/>
      <x:c r="V15"/>
      <x:c r="X15" s="10"/>
      <x:c r="Y15"/>
      <x:c r="Z15"/>
      <x:c r="AA15"/>
      <x:c r="AC15"/>
      <x:c r="AE15" s="10"/>
      <x:c r="AF15"/>
      <x:c r="AG15"/>
      <x:c r="AH15"/>
      <x:c r="AJ15"/>
      <x:c r="AL15" s="10"/>
      <x:c r="AM15"/>
      <x:c r="AN15"/>
    </x:row>
    <x:row r="16">
      <x:c r="A16"/>
      <x:c r="B16"/>
      <x:c r="D16" s="10"/>
      <x:c r="E16"/>
      <x:c r="F16"/>
      <x:c r="G16"/>
      <x:c r="I16"/>
      <x:c r="K16" s="10"/>
      <x:c r="L16"/>
      <x:c r="N16"/>
      <x:c r="O16"/>
      <x:c r="Q16" s="10"/>
      <x:c r="R16"/>
      <x:c r="S16"/>
      <x:c r="T16"/>
      <x:c r="V16"/>
      <x:c r="X16" s="10"/>
      <x:c r="Y16"/>
      <x:c r="Z16"/>
      <x:c r="AA16"/>
      <x:c r="AC16"/>
      <x:c r="AE16" s="10"/>
      <x:c r="AF16"/>
      <x:c r="AG16"/>
      <x:c r="AH16"/>
      <x:c r="AJ16"/>
      <x:c r="AL16" s="10"/>
      <x:c r="AM16"/>
      <x:c r="AN16"/>
    </x:row>
    <x:row r="17">
      <x:c r="A17"/>
      <x:c r="B17"/>
      <x:c r="D17" s="10"/>
      <x:c r="E17"/>
      <x:c r="F17"/>
      <x:c r="G17"/>
      <x:c r="I17"/>
      <x:c r="K17" s="10"/>
      <x:c r="L17"/>
      <x:c r="N17"/>
      <x:c r="O17"/>
      <x:c r="Q17" s="10"/>
      <x:c r="R17"/>
      <x:c r="S17"/>
      <x:c r="T17"/>
      <x:c r="V17"/>
      <x:c r="X17" s="10"/>
      <x:c r="Y17"/>
      <x:c r="Z17"/>
      <x:c r="AA17"/>
      <x:c r="AC17"/>
      <x:c r="AE17" s="10"/>
      <x:c r="AF17"/>
      <x:c r="AG17"/>
      <x:c r="AH17"/>
      <x:c r="AJ17"/>
      <x:c r="AL17" s="10"/>
      <x:c r="AM17"/>
      <x:c r="AN17"/>
    </x:row>
    <x:row r="18">
      <x:c r="A18"/>
      <x:c r="B18"/>
      <x:c r="D18" s="10"/>
      <x:c r="E18"/>
      <x:c r="F18"/>
      <x:c r="G18"/>
      <x:c r="I18"/>
      <x:c r="K18" s="10"/>
      <x:c r="L18"/>
      <x:c r="N18"/>
      <x:c r="O18"/>
      <x:c r="Q18" s="10"/>
      <x:c r="R18"/>
      <x:c r="S18"/>
      <x:c r="T18"/>
      <x:c r="V18"/>
      <x:c r="X18" s="10"/>
      <x:c r="Y18"/>
      <x:c r="Z18"/>
      <x:c r="AA18"/>
      <x:c r="AC18"/>
      <x:c r="AE18" s="10"/>
      <x:c r="AF18"/>
      <x:c r="AG18"/>
      <x:c r="AH18"/>
      <x:c r="AJ18"/>
      <x:c r="AL18" s="10"/>
      <x:c r="AM18"/>
      <x:c r="AN18"/>
    </x:row>
    <x:row r="19">
      <x:c r="A19"/>
      <x:c r="B19"/>
      <x:c r="D19" s="10"/>
      <x:c r="E19"/>
      <x:c r="F19"/>
      <x:c r="G19"/>
      <x:c r="I19"/>
      <x:c r="K19" s="10"/>
      <x:c r="L19"/>
      <x:c r="N19"/>
      <x:c r="O19"/>
      <x:c r="Q19" s="10"/>
      <x:c r="R19"/>
      <x:c r="S19"/>
      <x:c r="T19"/>
      <x:c r="V19"/>
      <x:c r="X19" s="10"/>
      <x:c r="Y19"/>
      <x:c r="Z19"/>
      <x:c r="AA19"/>
      <x:c r="AC19"/>
      <x:c r="AE19" s="10"/>
      <x:c r="AF19"/>
      <x:c r="AG19"/>
      <x:c r="AH19"/>
      <x:c r="AJ19"/>
      <x:c r="AL19" s="10"/>
      <x:c r="AM19"/>
      <x:c r="AN19"/>
    </x:row>
    <x:row r="20">
      <x:c r="D20" s="10"/>
      <x:c r="E20"/>
      <x:c r="F20"/>
      <x:c r="G20"/>
      <x:c r="I20"/>
      <x:c r="K20" s="10"/>
      <x:c r="L20"/>
      <x:c r="N20"/>
      <x:c r="O20"/>
      <x:c r="Q20" s="10"/>
      <x:c r="R20"/>
      <x:c r="S20"/>
      <x:c r="T20"/>
      <x:c r="V20"/>
      <x:c r="X20" s="10"/>
      <x:c r="Y20"/>
      <x:c r="Z20"/>
      <x:c r="AA20"/>
      <x:c r="AC20"/>
      <x:c r="AE20" s="10"/>
      <x:c r="AF20"/>
      <x:c r="AG20"/>
      <x:c r="AH20"/>
      <x:c r="AJ20"/>
      <x:c r="AL20" s="10"/>
      <x:c r="AM20"/>
      <x:c r="AN20"/>
    </x:row>
    <x:row r="21">
      <x:c r="D21" s="10"/>
      <x:c r="E21"/>
      <x:c r="F21"/>
      <x:c r="G21"/>
      <x:c r="I21"/>
      <x:c r="K21" s="10"/>
      <x:c r="L21"/>
      <x:c r="N21"/>
      <x:c r="O21"/>
      <x:c r="Q21" s="10"/>
      <x:c r="R21"/>
      <x:c r="S21"/>
      <x:c r="T21"/>
      <x:c r="V21"/>
      <x:c r="X21" s="10"/>
      <x:c r="Y21"/>
      <x:c r="Z21"/>
      <x:c r="AA21"/>
      <x:c r="AC21"/>
      <x:c r="AE21" s="10"/>
      <x:c r="AF21"/>
      <x:c r="AG21"/>
      <x:c r="AH21"/>
      <x:c r="AJ21"/>
      <x:c r="AL21" s="10"/>
      <x:c r="AM21"/>
      <x:c r="AN21"/>
    </x:row>
    <x:row r="22">
      <x:c r="D22" s="10"/>
      <x:c r="E22"/>
      <x:c r="F22"/>
      <x:c r="G22"/>
      <x:c r="I22"/>
      <x:c r="K22" s="10"/>
      <x:c r="L22"/>
      <x:c r="N22"/>
      <x:c r="O22"/>
      <x:c r="Q22" s="10"/>
      <x:c r="R22"/>
      <x:c r="S22"/>
      <x:c r="T22"/>
      <x:c r="V22"/>
      <x:c r="X22" s="10"/>
      <x:c r="Y22"/>
      <x:c r="Z22"/>
      <x:c r="AA22"/>
      <x:c r="AC22"/>
      <x:c r="AE22" s="10"/>
      <x:c r="AF22"/>
      <x:c r="AG22"/>
      <x:c r="AH22"/>
      <x:c r="AJ22"/>
      <x:c r="AL22" s="10"/>
      <x:c r="AM22"/>
      <x:c r="AN22"/>
    </x:row>
    <x:row r="23">
      <x:c r="D23" s="10"/>
      <x:c r="E23"/>
      <x:c r="F23"/>
      <x:c r="G23"/>
      <x:c r="I23"/>
      <x:c r="K23" s="10"/>
      <x:c r="L23"/>
      <x:c r="N23"/>
      <x:c r="O23"/>
      <x:c r="Q23" s="10"/>
      <x:c r="R23"/>
      <x:c r="S23"/>
      <x:c r="T23"/>
      <x:c r="V23"/>
      <x:c r="X23" s="10"/>
      <x:c r="Y23"/>
      <x:c r="Z23"/>
      <x:c r="AA23"/>
      <x:c r="AC23"/>
      <x:c r="AE23" s="10"/>
      <x:c r="AF23"/>
      <x:c r="AG23"/>
      <x:c r="AH23"/>
      <x:c r="AJ23"/>
      <x:c r="AL23" s="10"/>
      <x:c r="AM23"/>
      <x:c r="AN23"/>
    </x:row>
    <x:row r="24">
      <x:c r="D24" s="10"/>
      <x:c r="E24"/>
      <x:c r="F24"/>
      <x:c r="G24"/>
      <x:c r="I24"/>
      <x:c r="K24" s="10"/>
      <x:c r="L24"/>
      <x:c r="N24"/>
      <x:c r="O24"/>
      <x:c r="Q24" s="10"/>
      <x:c r="R24"/>
      <x:c r="S24"/>
      <x:c r="T24"/>
      <x:c r="V24"/>
      <x:c r="X24" s="10"/>
      <x:c r="Y24"/>
      <x:c r="Z24"/>
      <x:c r="AA24"/>
      <x:c r="AC24"/>
      <x:c r="AE24" s="10"/>
      <x:c r="AF24"/>
      <x:c r="AG24"/>
      <x:c r="AH24"/>
      <x:c r="AJ24"/>
      <x:c r="AL24" s="10"/>
      <x:c r="AM24"/>
      <x:c r="AN24"/>
    </x:row>
    <x:row r="25">
      <x:c r="D25" s="10"/>
      <x:c r="E25"/>
      <x:c r="F25"/>
      <x:c r="G25"/>
      <x:c r="I25"/>
      <x:c r="K25" s="10"/>
      <x:c r="L25"/>
      <x:c r="N25"/>
      <x:c r="O25"/>
      <x:c r="Q25" s="10"/>
      <x:c r="R25"/>
      <x:c r="S25"/>
      <x:c r="T25"/>
      <x:c r="V25"/>
      <x:c r="X25" s="10"/>
      <x:c r="Y25"/>
      <x:c r="Z25"/>
      <x:c r="AA25"/>
      <x:c r="AC25"/>
      <x:c r="AE25" s="10"/>
      <x:c r="AF25"/>
      <x:c r="AG25"/>
      <x:c r="AH25"/>
      <x:c r="AJ25"/>
      <x:c r="AL25" s="10"/>
      <x:c r="AM25"/>
      <x:c r="AN25"/>
    </x:row>
    <x:row r="26">
      <x:c r="D26" s="10"/>
      <x:c r="E26"/>
      <x:c r="F26"/>
      <x:c r="G26"/>
      <x:c r="I26"/>
      <x:c r="K26" s="10"/>
      <x:c r="L26"/>
      <x:c r="N26"/>
      <x:c r="O26"/>
      <x:c r="Q26" s="10"/>
      <x:c r="R26"/>
      <x:c r="S26"/>
      <x:c r="T26"/>
      <x:c r="V26"/>
      <x:c r="X26" s="10"/>
      <x:c r="Y26"/>
      <x:c r="Z26"/>
      <x:c r="AA26"/>
      <x:c r="AC26"/>
      <x:c r="AE26" s="10"/>
      <x:c r="AF26"/>
      <x:c r="AG26"/>
      <x:c r="AH26"/>
      <x:c r="AJ26"/>
      <x:c r="AL26" s="10"/>
      <x:c r="AM26"/>
      <x:c r="AN26"/>
    </x:row>
    <x:row r="27">
      <x:c r="D27" s="10"/>
      <x:c r="E27"/>
      <x:c r="F27"/>
      <x:c r="G27"/>
      <x:c r="I27"/>
      <x:c r="K27" s="10"/>
      <x:c r="L27"/>
      <x:c r="N27"/>
      <x:c r="O27"/>
      <x:c r="Q27" s="10"/>
      <x:c r="R27"/>
      <x:c r="S27"/>
      <x:c r="T27"/>
      <x:c r="V27"/>
      <x:c r="X27" s="10"/>
      <x:c r="Y27"/>
      <x:c r="Z27"/>
      <x:c r="AA27"/>
      <x:c r="AC27"/>
      <x:c r="AE27" s="10"/>
      <x:c r="AF27"/>
      <x:c r="AG27"/>
      <x:c r="AH27"/>
      <x:c r="AJ27"/>
      <x:c r="AL27" s="10"/>
      <x:c r="AM27"/>
      <x:c r="AN27"/>
    </x:row>
    <x:row r="28">
      <x:c r="D28" s="10"/>
      <x:c r="E28"/>
      <x:c r="F28"/>
      <x:c r="G28"/>
      <x:c r="I28"/>
      <x:c r="K28" s="10"/>
      <x:c r="L28"/>
      <x:c r="N28"/>
      <x:c r="O28"/>
      <x:c r="Q28" s="10"/>
      <x:c r="R28"/>
      <x:c r="S28"/>
      <x:c r="T28"/>
      <x:c r="V28"/>
      <x:c r="X28" s="10"/>
      <x:c r="Y28"/>
      <x:c r="Z28"/>
      <x:c r="AA28"/>
      <x:c r="AC28"/>
      <x:c r="AE28" s="10"/>
      <x:c r="AF28"/>
      <x:c r="AG28"/>
      <x:c r="AH28"/>
      <x:c r="AJ28"/>
      <x:c r="AL28" s="10"/>
      <x:c r="AM28"/>
      <x:c r="AN28"/>
    </x:row>
    <x:row r="29">
      <x:c r="D29" s="10"/>
      <x:c r="E29"/>
      <x:c r="F29"/>
      <x:c r="G29"/>
      <x:c r="I29"/>
      <x:c r="K29" s="10"/>
      <x:c r="L29"/>
      <x:c r="N29"/>
      <x:c r="O29"/>
      <x:c r="Q29" s="10"/>
      <x:c r="R29"/>
      <x:c r="S29"/>
      <x:c r="T29"/>
      <x:c r="V29"/>
      <x:c r="X29" s="10"/>
      <x:c r="Y29"/>
      <x:c r="Z29"/>
      <x:c r="AA29"/>
      <x:c r="AC29"/>
      <x:c r="AE29" s="10"/>
      <x:c r="AF29"/>
      <x:c r="AG29"/>
      <x:c r="AH29"/>
      <x:c r="AJ29"/>
      <x:c r="AL29" s="10"/>
      <x:c r="AM29"/>
      <x:c r="AN29"/>
    </x:row>
    <x:row r="30">
      <x:c r="D30" s="10"/>
      <x:c r="E30"/>
      <x:c r="F30"/>
      <x:c r="G30"/>
      <x:c r="I30"/>
      <x:c r="K30" s="10"/>
      <x:c r="L30"/>
      <x:c r="N30"/>
      <x:c r="O30"/>
      <x:c r="Q30" s="10"/>
      <x:c r="R30"/>
      <x:c r="S30"/>
      <x:c r="T30"/>
      <x:c r="V30"/>
      <x:c r="X30" s="10"/>
      <x:c r="Y30"/>
      <x:c r="Z30"/>
      <x:c r="AA30"/>
      <x:c r="AC30"/>
      <x:c r="AE30" s="10"/>
      <x:c r="AF30"/>
      <x:c r="AG30"/>
      <x:c r="AH30"/>
      <x:c r="AJ30"/>
      <x:c r="AL30" s="10"/>
      <x:c r="AM30"/>
      <x:c r="AN30"/>
    </x:row>
    <x:row r="31">
      <x:c r="D31" s="10"/>
      <x:c r="E31"/>
      <x:c r="F31"/>
      <x:c r="G31"/>
      <x:c r="I31"/>
      <x:c r="K31" s="10"/>
      <x:c r="L31"/>
      <x:c r="N31"/>
      <x:c r="O31"/>
      <x:c r="Q31" s="10"/>
      <x:c r="R31"/>
      <x:c r="S31"/>
      <x:c r="T31"/>
      <x:c r="V31"/>
      <x:c r="X31" s="10"/>
      <x:c r="Y31"/>
      <x:c r="Z31"/>
      <x:c r="AA31"/>
      <x:c r="AC31"/>
      <x:c r="AE31" s="10"/>
      <x:c r="AF31"/>
      <x:c r="AG31"/>
      <x:c r="AH31"/>
      <x:c r="AJ31"/>
      <x:c r="AL31" s="10"/>
      <x:c r="AM31"/>
      <x:c r="AN31"/>
    </x:row>
    <x:row r="32">
      <x:c r="D32" s="10"/>
      <x:c r="E32"/>
      <x:c r="F32"/>
      <x:c r="G32"/>
      <x:c r="I32"/>
      <x:c r="K32" s="10"/>
      <x:c r="L32"/>
      <x:c r="N32"/>
      <x:c r="O32"/>
      <x:c r="Q32" s="10"/>
      <x:c r="R32"/>
      <x:c r="S32"/>
      <x:c r="T32"/>
      <x:c r="V32"/>
      <x:c r="X32" s="10"/>
      <x:c r="Y32"/>
      <x:c r="Z32"/>
      <x:c r="AA32"/>
      <x:c r="AC32"/>
      <x:c r="AE32" s="10"/>
      <x:c r="AF32"/>
      <x:c r="AG32"/>
      <x:c r="AH32"/>
      <x:c r="AJ32"/>
      <x:c r="AL32" s="10"/>
      <x:c r="AM32"/>
      <x:c r="AN32"/>
    </x:row>
    <x:row r="33">
      <x:c r="D33" s="10"/>
      <x:c r="E33"/>
      <x:c r="F33"/>
      <x:c r="G33"/>
      <x:c r="I33"/>
      <x:c r="K33" s="10"/>
      <x:c r="L33"/>
      <x:c r="N33"/>
      <x:c r="O33"/>
      <x:c r="Q33" s="10"/>
      <x:c r="R33"/>
      <x:c r="S33"/>
      <x:c r="T33"/>
      <x:c r="V33"/>
      <x:c r="X33" s="10"/>
      <x:c r="Y33"/>
      <x:c r="Z33"/>
      <x:c r="AA33"/>
      <x:c r="AC33"/>
      <x:c r="AE33" s="10"/>
      <x:c r="AF33"/>
      <x:c r="AG33"/>
      <x:c r="AH33"/>
      <x:c r="AJ33"/>
      <x:c r="AL33" s="10"/>
      <x:c r="AM33"/>
      <x:c r="AN33"/>
    </x:row>
    <x:row r="34">
      <x:c r="D34" s="10"/>
      <x:c r="E34"/>
      <x:c r="F34"/>
      <x:c r="G34"/>
      <x:c r="I34"/>
      <x:c r="K34" s="10"/>
      <x:c r="L34"/>
      <x:c r="N34"/>
      <x:c r="O34"/>
      <x:c r="Q34" s="10"/>
      <x:c r="R34"/>
      <x:c r="S34"/>
      <x:c r="T34"/>
      <x:c r="V34"/>
      <x:c r="X34" s="10"/>
      <x:c r="Y34"/>
      <x:c r="Z34"/>
      <x:c r="AA34"/>
      <x:c r="AC34"/>
      <x:c r="AE34" s="10"/>
      <x:c r="AF34"/>
      <x:c r="AG34"/>
      <x:c r="AH34"/>
      <x:c r="AJ34"/>
      <x:c r="AL34" s="10"/>
      <x:c r="AM34"/>
      <x:c r="AN34"/>
    </x:row>
    <x:row r="35">
      <x:c r="D35" s="10"/>
      <x:c r="E35"/>
      <x:c r="F35"/>
      <x:c r="G35"/>
      <x:c r="I35"/>
      <x:c r="K35" s="10"/>
      <x:c r="L35"/>
      <x:c r="N35"/>
      <x:c r="O35"/>
      <x:c r="Q35" s="10"/>
      <x:c r="R35"/>
      <x:c r="S35"/>
      <x:c r="T35"/>
      <x:c r="V35"/>
      <x:c r="X35" s="10"/>
      <x:c r="Y35"/>
      <x:c r="Z35"/>
      <x:c r="AA35"/>
      <x:c r="AC35"/>
      <x:c r="AE35" s="10"/>
      <x:c r="AF35"/>
      <x:c r="AG35"/>
      <x:c r="AH35"/>
      <x:c r="AJ35"/>
      <x:c r="AL35" s="10"/>
      <x:c r="AM35"/>
      <x:c r="AN35"/>
    </x:row>
    <x:row r="36">
      <x:c r="D36" s="10"/>
      <x:c r="E36"/>
      <x:c r="F36"/>
      <x:c r="G36"/>
      <x:c r="I36"/>
      <x:c r="K36" s="10"/>
      <x:c r="L36"/>
      <x:c r="N36"/>
      <x:c r="O36"/>
      <x:c r="Q36" s="10"/>
      <x:c r="R36"/>
      <x:c r="S36"/>
      <x:c r="T36"/>
      <x:c r="V36"/>
      <x:c r="X36" s="10"/>
      <x:c r="Y36"/>
      <x:c r="Z36"/>
      <x:c r="AA36"/>
      <x:c r="AC36"/>
      <x:c r="AE36" s="10"/>
      <x:c r="AF36"/>
      <x:c r="AG36"/>
      <x:c r="AH36"/>
      <x:c r="AJ36"/>
      <x:c r="AL36" s="10"/>
      <x:c r="AM36"/>
      <x:c r="AN36"/>
    </x:row>
    <x:row r="37">
      <x:c r="D37" s="10"/>
      <x:c r="E37"/>
      <x:c r="F37"/>
      <x:c r="G37"/>
      <x:c r="I37"/>
      <x:c r="K37" s="10"/>
      <x:c r="L37"/>
      <x:c r="N37"/>
      <x:c r="O37"/>
      <x:c r="Q37" s="10"/>
      <x:c r="R37"/>
      <x:c r="S37"/>
      <x:c r="T37"/>
      <x:c r="V37"/>
      <x:c r="X37" s="10"/>
      <x:c r="Y37"/>
      <x:c r="Z37"/>
      <x:c r="AA37"/>
      <x:c r="AC37"/>
      <x:c r="AE37" s="10"/>
      <x:c r="AF37"/>
      <x:c r="AG37"/>
      <x:c r="AH37"/>
      <x:c r="AJ37"/>
      <x:c r="AL37" s="10"/>
      <x:c r="AM37"/>
      <x:c r="AN37"/>
    </x:row>
    <x:row r="38">
      <x:c r="D38" s="10"/>
      <x:c r="E38"/>
      <x:c r="F38"/>
      <x:c r="G38"/>
      <x:c r="I38"/>
      <x:c r="K38" s="10"/>
      <x:c r="L38"/>
      <x:c r="N38"/>
      <x:c r="O38"/>
      <x:c r="Q38" s="10"/>
      <x:c r="R38"/>
      <x:c r="S38"/>
      <x:c r="T38"/>
      <x:c r="V38"/>
      <x:c r="X38" s="10"/>
      <x:c r="Y38"/>
      <x:c r="Z38"/>
      <x:c r="AA38"/>
      <x:c r="AC38"/>
      <x:c r="AE38" s="10"/>
      <x:c r="AF38"/>
      <x:c r="AG38"/>
      <x:c r="AH38"/>
      <x:c r="AJ38"/>
      <x:c r="AL38" s="10"/>
      <x:c r="AM38"/>
      <x:c r="AN38"/>
    </x:row>
    <x:row r="39">
      <x:c r="D39" s="10"/>
      <x:c r="E39"/>
      <x:c r="F39"/>
      <x:c r="G39"/>
      <x:c r="I39"/>
      <x:c r="K39" s="10"/>
      <x:c r="L39"/>
      <x:c r="N39"/>
      <x:c r="O39"/>
      <x:c r="Q39" s="10"/>
      <x:c r="R39"/>
      <x:c r="S39"/>
      <x:c r="T39"/>
      <x:c r="V39"/>
      <x:c r="X39" s="10"/>
      <x:c r="Y39"/>
      <x:c r="Z39"/>
      <x:c r="AA39"/>
      <x:c r="AC39"/>
      <x:c r="AE39" s="10"/>
      <x:c r="AF39"/>
      <x:c r="AG39"/>
      <x:c r="AH39"/>
      <x:c r="AJ39"/>
      <x:c r="AL39" s="10"/>
      <x:c r="AM39"/>
      <x:c r="AN39"/>
    </x:row>
    <x:row r="40">
      <x:c r="D40" s="10"/>
      <x:c r="E40"/>
      <x:c r="F40"/>
      <x:c r="G40"/>
      <x:c r="I40"/>
      <x:c r="K40" s="10"/>
      <x:c r="L40"/>
      <x:c r="N40"/>
      <x:c r="O40"/>
      <x:c r="Q40" s="10"/>
      <x:c r="R40"/>
      <x:c r="S40"/>
      <x:c r="T40"/>
      <x:c r="V40"/>
      <x:c r="X40" s="10"/>
      <x:c r="Y40"/>
      <x:c r="Z40"/>
      <x:c r="AA40"/>
      <x:c r="AC40"/>
      <x:c r="AE40" s="10"/>
      <x:c r="AF40"/>
      <x:c r="AG40"/>
      <x:c r="AH40"/>
      <x:c r="AJ40"/>
      <x:c r="AL40" s="10"/>
      <x:c r="AM40"/>
      <x:c r="AN40"/>
    </x:row>
    <x:row r="41">
      <x:c r="D41" s="10"/>
      <x:c r="E41"/>
      <x:c r="F41"/>
      <x:c r="G41"/>
      <x:c r="I41"/>
      <x:c r="K41" s="10"/>
      <x:c r="L41"/>
      <x:c r="N41"/>
      <x:c r="O41"/>
      <x:c r="Q41" s="10"/>
      <x:c r="R41"/>
      <x:c r="S41"/>
      <x:c r="T41"/>
      <x:c r="V41"/>
      <x:c r="X41" s="10"/>
      <x:c r="Y41"/>
      <x:c r="Z41"/>
      <x:c r="AA41"/>
      <x:c r="AC41"/>
      <x:c r="AE41" s="10"/>
      <x:c r="AF41"/>
      <x:c r="AG41"/>
      <x:c r="AH41"/>
      <x:c r="AJ41"/>
      <x:c r="AL41" s="10"/>
      <x:c r="AM41"/>
      <x:c r="AN41"/>
    </x:row>
    <x:row r="42">
      <x:c r="D42" s="10"/>
      <x:c r="E42"/>
      <x:c r="F42"/>
      <x:c r="G42"/>
      <x:c r="I42"/>
      <x:c r="K42" s="10"/>
      <x:c r="L42"/>
      <x:c r="N42"/>
      <x:c r="O42"/>
      <x:c r="Q42" s="10"/>
      <x:c r="R42"/>
      <x:c r="S42"/>
      <x:c r="T42"/>
      <x:c r="V42"/>
      <x:c r="X42" s="10"/>
      <x:c r="Y42"/>
      <x:c r="Z42"/>
      <x:c r="AA42"/>
      <x:c r="AC42"/>
      <x:c r="AE42" s="10"/>
      <x:c r="AF42"/>
      <x:c r="AG42"/>
      <x:c r="AH42"/>
      <x:c r="AJ42"/>
      <x:c r="AL42" s="10"/>
      <x:c r="AM42"/>
      <x:c r="AN42"/>
    </x:row>
    <x:row r="43">
      <x:c r="D43" s="10"/>
      <x:c r="E43"/>
      <x:c r="F43"/>
      <x:c r="G43"/>
      <x:c r="I43"/>
      <x:c r="K43" s="10"/>
      <x:c r="L43"/>
      <x:c r="N43"/>
      <x:c r="O43"/>
      <x:c r="Q43" s="10"/>
      <x:c r="R43"/>
      <x:c r="S43"/>
      <x:c r="T43"/>
      <x:c r="V43"/>
      <x:c r="X43" s="10"/>
      <x:c r="Y43"/>
      <x:c r="Z43"/>
      <x:c r="AA43"/>
      <x:c r="AC43"/>
      <x:c r="AE43" s="10"/>
      <x:c r="AF43"/>
      <x:c r="AG43"/>
      <x:c r="AH43"/>
      <x:c r="AJ43"/>
      <x:c r="AL43" s="10"/>
      <x:c r="AM43"/>
      <x:c r="AN43"/>
    </x:row>
    <x:row r="44">
      <x:c r="D44" s="10"/>
      <x:c r="E44"/>
      <x:c r="F44"/>
      <x:c r="G44"/>
      <x:c r="I44"/>
      <x:c r="K44" s="10"/>
      <x:c r="L44"/>
      <x:c r="N44"/>
      <x:c r="O44"/>
      <x:c r="Q44" s="10"/>
      <x:c r="R44"/>
      <x:c r="S44"/>
      <x:c r="T44"/>
      <x:c r="V44"/>
      <x:c r="X44" s="10"/>
      <x:c r="Y44"/>
      <x:c r="Z44"/>
      <x:c r="AA44"/>
      <x:c r="AC44"/>
      <x:c r="AE44" s="10"/>
      <x:c r="AF44"/>
      <x:c r="AG44"/>
      <x:c r="AH44"/>
      <x:c r="AJ44"/>
      <x:c r="AL44" s="10"/>
      <x:c r="AM44"/>
      <x:c r="AN44"/>
    </x:row>
    <x:row r="45">
      <x:c r="D45" s="10"/>
      <x:c r="E45"/>
      <x:c r="F45"/>
      <x:c r="G45"/>
      <x:c r="I45"/>
      <x:c r="K45" s="10"/>
      <x:c r="L45"/>
      <x:c r="N45"/>
      <x:c r="O45"/>
      <x:c r="Q45" s="10"/>
      <x:c r="R45"/>
      <x:c r="S45"/>
      <x:c r="T45"/>
      <x:c r="V45"/>
      <x:c r="X45" s="10"/>
      <x:c r="Y45"/>
      <x:c r="Z45"/>
      <x:c r="AA45"/>
      <x:c r="AC45"/>
      <x:c r="AE45" s="10"/>
      <x:c r="AF45"/>
      <x:c r="AG45"/>
      <x:c r="AH45"/>
      <x:c r="AJ45"/>
      <x:c r="AL45" s="10"/>
      <x:c r="AM45"/>
      <x:c r="AN45"/>
    </x:row>
    <x:row r="46">
      <x:c r="D46" s="10"/>
      <x:c r="E46"/>
      <x:c r="F46"/>
      <x:c r="G46"/>
      <x:c r="I46"/>
      <x:c r="K46" s="10"/>
      <x:c r="L46"/>
      <x:c r="N46"/>
      <x:c r="O46"/>
      <x:c r="Q46" s="10"/>
      <x:c r="R46"/>
      <x:c r="S46"/>
      <x:c r="T46"/>
      <x:c r="V46"/>
      <x:c r="X46" s="10"/>
      <x:c r="Y46"/>
      <x:c r="Z46"/>
      <x:c r="AA46"/>
      <x:c r="AC46"/>
      <x:c r="AE46" s="10"/>
      <x:c r="AF46"/>
      <x:c r="AG46"/>
      <x:c r="AH46"/>
      <x:c r="AJ46"/>
      <x:c r="AL46" s="10"/>
      <x:c r="AM46"/>
      <x:c r="AN46"/>
    </x:row>
    <x:row r="47">
      <x:c r="D47" s="10"/>
      <x:c r="E47"/>
      <x:c r="F47"/>
      <x:c r="G47"/>
      <x:c r="I47"/>
      <x:c r="K47" s="10"/>
      <x:c r="L47"/>
      <x:c r="N47"/>
      <x:c r="O47"/>
      <x:c r="Q47" s="10"/>
      <x:c r="R47"/>
      <x:c r="S47"/>
      <x:c r="T47"/>
      <x:c r="V47"/>
      <x:c r="X47" s="10"/>
      <x:c r="Y47"/>
      <x:c r="Z47"/>
      <x:c r="AA47"/>
      <x:c r="AC47"/>
      <x:c r="AE47" s="10"/>
      <x:c r="AF47"/>
      <x:c r="AG47"/>
      <x:c r="AH47"/>
      <x:c r="AJ47"/>
      <x:c r="AL47" s="10"/>
      <x:c r="AM47"/>
      <x:c r="AN47"/>
    </x:row>
    <x:row r="48">
      <x:c r="D48" s="10"/>
      <x:c r="E48"/>
      <x:c r="F48"/>
      <x:c r="G48"/>
      <x:c r="I48"/>
      <x:c r="K48" s="10"/>
      <x:c r="L48"/>
      <x:c r="N48"/>
      <x:c r="O48"/>
      <x:c r="Q48" s="10"/>
      <x:c r="R48"/>
      <x:c r="S48"/>
      <x:c r="T48"/>
      <x:c r="V48"/>
      <x:c r="X48" s="10"/>
      <x:c r="Y48"/>
      <x:c r="Z48"/>
      <x:c r="AA48"/>
      <x:c r="AC48"/>
      <x:c r="AE48" s="10"/>
      <x:c r="AF48"/>
      <x:c r="AG48"/>
      <x:c r="AH48"/>
      <x:c r="AJ48"/>
      <x:c r="AL48" s="10"/>
      <x:c r="AM48"/>
      <x:c r="AN48"/>
    </x:row>
    <x:row r="49">
      <x:c r="D49" s="10"/>
      <x:c r="E49"/>
      <x:c r="F49"/>
      <x:c r="G49"/>
      <x:c r="I49"/>
      <x:c r="K49" s="10"/>
      <x:c r="L49"/>
      <x:c r="N49"/>
      <x:c r="O49"/>
      <x:c r="Q49" s="10"/>
      <x:c r="R49"/>
      <x:c r="S49"/>
      <x:c r="T49"/>
      <x:c r="V49"/>
      <x:c r="X49" s="10"/>
      <x:c r="Y49"/>
      <x:c r="Z49"/>
      <x:c r="AA49"/>
      <x:c r="AC49"/>
      <x:c r="AE49" s="10"/>
      <x:c r="AF49"/>
      <x:c r="AG49"/>
      <x:c r="AH49"/>
      <x:c r="AJ49"/>
      <x:c r="AL49" s="10"/>
      <x:c r="AM49"/>
      <x:c r="AN49"/>
    </x:row>
    <x:row r="50">
      <x:c r="D50" s="10"/>
      <x:c r="E50"/>
      <x:c r="F50"/>
      <x:c r="G50"/>
      <x:c r="I50"/>
      <x:c r="K50" s="10"/>
      <x:c r="L50"/>
      <x:c r="N50"/>
      <x:c r="O50"/>
      <x:c r="Q50" s="10"/>
      <x:c r="R50"/>
      <x:c r="S50"/>
      <x:c r="T50"/>
      <x:c r="V50"/>
      <x:c r="X50" s="10"/>
      <x:c r="Y50"/>
      <x:c r="Z50"/>
      <x:c r="AA50"/>
      <x:c r="AC50"/>
      <x:c r="AE50" s="10"/>
      <x:c r="AF50"/>
      <x:c r="AG50"/>
      <x:c r="AH50"/>
      <x:c r="AJ50"/>
      <x:c r="AL50" s="10"/>
      <x:c r="AM50"/>
      <x:c r="AN50"/>
    </x:row>
    <x:row r="51">
      <x:c r="D51" s="10"/>
      <x:c r="E51"/>
      <x:c r="F51"/>
      <x:c r="G51"/>
      <x:c r="I51"/>
      <x:c r="K51" s="10"/>
      <x:c r="L51"/>
      <x:c r="N51"/>
      <x:c r="O51"/>
      <x:c r="Q51" s="10"/>
      <x:c r="R51"/>
      <x:c r="S51"/>
      <x:c r="T51"/>
      <x:c r="V51"/>
      <x:c r="X51" s="10"/>
      <x:c r="Y51"/>
      <x:c r="Z51"/>
      <x:c r="AA51"/>
      <x:c r="AC51"/>
      <x:c r="AE51" s="10"/>
      <x:c r="AF51"/>
      <x:c r="AG51"/>
      <x:c r="AH51"/>
      <x:c r="AJ51"/>
      <x:c r="AL51" s="10"/>
      <x:c r="AM51"/>
      <x:c r="AN51"/>
    </x:row>
    <x:row r="52">
      <x:c r="D52" s="10"/>
      <x:c r="E52"/>
      <x:c r="F52"/>
      <x:c r="G52"/>
      <x:c r="I52"/>
      <x:c r="K52" s="10"/>
      <x:c r="L52"/>
      <x:c r="N52"/>
      <x:c r="O52"/>
      <x:c r="Q52" s="10"/>
      <x:c r="R52"/>
      <x:c r="S52"/>
      <x:c r="T52"/>
      <x:c r="V52"/>
      <x:c r="X52" s="10"/>
      <x:c r="Y52"/>
      <x:c r="Z52"/>
      <x:c r="AA52"/>
      <x:c r="AC52"/>
      <x:c r="AE52" s="10"/>
      <x:c r="AF52"/>
      <x:c r="AG52"/>
      <x:c r="AH52"/>
      <x:c r="AJ52"/>
      <x:c r="AL52" s="10"/>
      <x:c r="AM52"/>
      <x:c r="AN52"/>
    </x:row>
    <x:row r="53">
      <x:c r="D53" s="10"/>
      <x:c r="E53"/>
      <x:c r="F53"/>
      <x:c r="G53"/>
      <x:c r="I53"/>
      <x:c r="K53" s="10"/>
      <x:c r="L53"/>
      <x:c r="N53"/>
      <x:c r="O53"/>
      <x:c r="Q53" s="10"/>
      <x:c r="R53"/>
      <x:c r="S53"/>
      <x:c r="T53"/>
      <x:c r="V53"/>
      <x:c r="X53" s="10"/>
      <x:c r="Y53"/>
      <x:c r="Z53"/>
      <x:c r="AA53"/>
      <x:c r="AC53"/>
      <x:c r="AE53" s="10"/>
      <x:c r="AF53"/>
      <x:c r="AG53"/>
      <x:c r="AH53"/>
      <x:c r="AJ53"/>
      <x:c r="AL53" s="10"/>
      <x:c r="AM53"/>
      <x:c r="AN53"/>
    </x:row>
    <x:row r="54">
      <x:c r="D54" s="10"/>
      <x:c r="E54"/>
      <x:c r="F54"/>
      <x:c r="G54"/>
      <x:c r="I54"/>
      <x:c r="K54" s="10"/>
      <x:c r="L54"/>
      <x:c r="N54"/>
      <x:c r="O54"/>
      <x:c r="Q54" s="10"/>
      <x:c r="R54"/>
      <x:c r="S54"/>
      <x:c r="T54"/>
      <x:c r="V54"/>
      <x:c r="X54" s="10"/>
      <x:c r="Y54"/>
      <x:c r="Z54"/>
      <x:c r="AA54"/>
      <x:c r="AC54"/>
      <x:c r="AE54" s="10"/>
      <x:c r="AF54"/>
      <x:c r="AG54"/>
      <x:c r="AH54"/>
      <x:c r="AJ54"/>
      <x:c r="AL54" s="10"/>
      <x:c r="AM54"/>
      <x:c r="AN54"/>
    </x:row>
    <x:row r="55">
      <x:c r="D55" s="10"/>
      <x:c r="E55"/>
      <x:c r="F55"/>
      <x:c r="G55"/>
      <x:c r="I55"/>
      <x:c r="K55" s="10"/>
      <x:c r="L55"/>
      <x:c r="N55"/>
      <x:c r="O55"/>
      <x:c r="Q55" s="10"/>
      <x:c r="R55"/>
      <x:c r="S55"/>
      <x:c r="T55"/>
      <x:c r="V55"/>
      <x:c r="X55" s="10"/>
      <x:c r="Y55"/>
      <x:c r="Z55"/>
      <x:c r="AA55"/>
      <x:c r="AC55"/>
      <x:c r="AE55" s="10"/>
      <x:c r="AF55"/>
      <x:c r="AG55"/>
      <x:c r="AH55"/>
      <x:c r="AJ55"/>
      <x:c r="AL55" s="10"/>
      <x:c r="AM55"/>
      <x:c r="AN55"/>
    </x:row>
    <x:row r="56">
      <x:c r="D56" s="10"/>
      <x:c r="E56"/>
      <x:c r="F56"/>
      <x:c r="G56"/>
      <x:c r="I56"/>
      <x:c r="K56" s="10"/>
      <x:c r="L56"/>
      <x:c r="N56"/>
      <x:c r="O56"/>
      <x:c r="Q56" s="10"/>
      <x:c r="R56"/>
      <x:c r="S56"/>
      <x:c r="T56"/>
      <x:c r="V56"/>
      <x:c r="X56" s="10"/>
      <x:c r="Y56"/>
      <x:c r="Z56"/>
      <x:c r="AA56"/>
      <x:c r="AC56"/>
      <x:c r="AE56" s="10"/>
      <x:c r="AF56"/>
      <x:c r="AG56"/>
      <x:c r="AH56"/>
      <x:c r="AJ56"/>
      <x:c r="AL56" s="10"/>
      <x:c r="AM56"/>
      <x:c r="AN56"/>
    </x:row>
    <x:row r="57">
      <x:c r="D57" s="10"/>
      <x:c r="E57"/>
      <x:c r="F57"/>
      <x:c r="G57"/>
      <x:c r="I57"/>
      <x:c r="K57" s="10"/>
      <x:c r="L57"/>
      <x:c r="N57"/>
      <x:c r="O57"/>
      <x:c r="Q57" s="10"/>
      <x:c r="R57"/>
      <x:c r="S57"/>
      <x:c r="T57"/>
      <x:c r="V57"/>
      <x:c r="X57" s="10"/>
      <x:c r="Y57"/>
      <x:c r="Z57"/>
      <x:c r="AA57"/>
      <x:c r="AC57"/>
      <x:c r="AE57" s="10"/>
      <x:c r="AF57"/>
      <x:c r="AG57"/>
      <x:c r="AH57"/>
      <x:c r="AJ57"/>
      <x:c r="AL57" s="10"/>
      <x:c r="AM57"/>
      <x:c r="AN57"/>
    </x:row>
    <x:row r="58">
      <x:c r="D58" s="10"/>
      <x:c r="E58"/>
      <x:c r="F58"/>
      <x:c r="G58"/>
      <x:c r="I58"/>
      <x:c r="K58" s="10"/>
      <x:c r="L58"/>
      <x:c r="N58"/>
      <x:c r="O58"/>
      <x:c r="Q58" s="10"/>
      <x:c r="R58"/>
      <x:c r="S58"/>
      <x:c r="T58"/>
      <x:c r="V58"/>
      <x:c r="X58" s="10"/>
      <x:c r="Y58"/>
      <x:c r="Z58"/>
      <x:c r="AA58"/>
      <x:c r="AC58"/>
      <x:c r="AE58" s="10"/>
      <x:c r="AF58"/>
      <x:c r="AG58"/>
      <x:c r="AH58"/>
      <x:c r="AJ58"/>
      <x:c r="AL58" s="10"/>
      <x:c r="AM58"/>
      <x:c r="AN58"/>
    </x:row>
    <x:row r="59">
      <x:c r="D59" s="10"/>
      <x:c r="E59"/>
      <x:c r="F59"/>
      <x:c r="G59"/>
      <x:c r="I59"/>
      <x:c r="K59" s="10"/>
      <x:c r="L59"/>
      <x:c r="N59"/>
      <x:c r="O59"/>
      <x:c r="Q59" s="10"/>
      <x:c r="R59"/>
      <x:c r="S59"/>
      <x:c r="T59"/>
      <x:c r="V59"/>
      <x:c r="X59" s="10"/>
      <x:c r="Y59"/>
      <x:c r="Z59"/>
      <x:c r="AA59"/>
      <x:c r="AC59"/>
      <x:c r="AE59" s="10"/>
      <x:c r="AF59"/>
      <x:c r="AG59"/>
      <x:c r="AH59"/>
      <x:c r="AJ59"/>
      <x:c r="AL59" s="10"/>
      <x:c r="AM59"/>
      <x:c r="AN59"/>
    </x:row>
    <x:row r="60">
      <x:c r="D60" s="10"/>
      <x:c r="E60"/>
      <x:c r="F60"/>
      <x:c r="G60"/>
      <x:c r="I60"/>
      <x:c r="K60" s="10"/>
      <x:c r="L60"/>
      <x:c r="N60"/>
      <x:c r="O60"/>
      <x:c r="Q60" s="10"/>
      <x:c r="R60"/>
      <x:c r="S60"/>
      <x:c r="T60"/>
      <x:c r="V60"/>
      <x:c r="X60" s="10"/>
      <x:c r="Y60"/>
      <x:c r="Z60"/>
      <x:c r="AA60"/>
      <x:c r="AC60"/>
      <x:c r="AE60" s="10"/>
      <x:c r="AF60"/>
      <x:c r="AG60"/>
      <x:c r="AH60"/>
      <x:c r="AJ60"/>
      <x:c r="AL60" s="10"/>
      <x:c r="AM60"/>
      <x:c r="AN60"/>
    </x:row>
    <x:row r="61">
      <x:c r="D61" s="10"/>
      <x:c r="E61"/>
      <x:c r="F61"/>
      <x:c r="G61"/>
      <x:c r="I61"/>
      <x:c r="K61" s="10"/>
      <x:c r="L61"/>
      <x:c r="N61"/>
      <x:c r="O61"/>
      <x:c r="Q61" s="10"/>
      <x:c r="R61"/>
      <x:c r="S61"/>
      <x:c r="T61"/>
      <x:c r="V61"/>
      <x:c r="X61" s="10"/>
      <x:c r="Y61"/>
      <x:c r="Z61"/>
      <x:c r="AA61"/>
      <x:c r="AC61"/>
      <x:c r="AE61" s="10"/>
      <x:c r="AF61"/>
      <x:c r="AG61"/>
      <x:c r="AH61"/>
      <x:c r="AJ61"/>
      <x:c r="AL61" s="10"/>
      <x:c r="AM61"/>
      <x:c r="AN61"/>
    </x:row>
    <x:row r="62">
      <x:c r="D62" s="10"/>
      <x:c r="E62"/>
      <x:c r="F62"/>
      <x:c r="G62"/>
      <x:c r="I62"/>
      <x:c r="K62" s="10"/>
      <x:c r="L62"/>
      <x:c r="N62"/>
      <x:c r="O62"/>
      <x:c r="Q62" s="10"/>
      <x:c r="R62"/>
      <x:c r="S62"/>
      <x:c r="T62"/>
      <x:c r="V62"/>
      <x:c r="X62" s="10"/>
      <x:c r="Y62"/>
      <x:c r="Z62"/>
      <x:c r="AA62"/>
      <x:c r="AC62"/>
      <x:c r="AE62" s="10"/>
      <x:c r="AF62"/>
      <x:c r="AG62"/>
      <x:c r="AH62"/>
      <x:c r="AJ62"/>
      <x:c r="AL62" s="10"/>
      <x:c r="AM62"/>
      <x:c r="AN62"/>
    </x:row>
    <x:row r="63">
      <x:c r="D63" s="10"/>
      <x:c r="E63"/>
      <x:c r="F63"/>
      <x:c r="G63"/>
      <x:c r="I63"/>
      <x:c r="K63" s="10"/>
      <x:c r="L63"/>
      <x:c r="N63"/>
      <x:c r="O63"/>
      <x:c r="Q63" s="10"/>
      <x:c r="R63"/>
      <x:c r="S63"/>
      <x:c r="T63"/>
      <x:c r="V63"/>
      <x:c r="X63" s="10"/>
      <x:c r="Y63"/>
      <x:c r="Z63"/>
      <x:c r="AA63"/>
      <x:c r="AC63"/>
      <x:c r="AE63" s="10"/>
      <x:c r="AF63"/>
      <x:c r="AG63"/>
      <x:c r="AH63"/>
      <x:c r="AJ63"/>
      <x:c r="AL63" s="10"/>
      <x:c r="AM63"/>
      <x:c r="AN63"/>
    </x:row>
    <x:row r="64">
      <x:c r="D64" s="10"/>
      <x:c r="E64"/>
      <x:c r="F64"/>
      <x:c r="G64"/>
      <x:c r="I64"/>
      <x:c r="K64" s="10"/>
      <x:c r="L64"/>
      <x:c r="N64"/>
      <x:c r="O64"/>
      <x:c r="Q64" s="10"/>
      <x:c r="R64"/>
      <x:c r="S64"/>
      <x:c r="T64"/>
      <x:c r="V64"/>
      <x:c r="X64" s="10"/>
      <x:c r="Y64"/>
      <x:c r="Z64"/>
      <x:c r="AA64"/>
      <x:c r="AC64"/>
      <x:c r="AE64" s="10"/>
      <x:c r="AF64"/>
      <x:c r="AG64"/>
      <x:c r="AH64"/>
      <x:c r="AJ64"/>
      <x:c r="AL64" s="10"/>
      <x:c r="AM64"/>
      <x:c r="AN64"/>
    </x:row>
    <x:row r="65">
      <x:c r="D65" s="10"/>
      <x:c r="E65"/>
      <x:c r="F65"/>
      <x:c r="G65"/>
      <x:c r="I65"/>
      <x:c r="K65" s="10"/>
      <x:c r="L65"/>
      <x:c r="N65"/>
      <x:c r="O65"/>
      <x:c r="Q65" s="10"/>
      <x:c r="R65"/>
      <x:c r="S65"/>
      <x:c r="T65"/>
      <x:c r="V65"/>
      <x:c r="X65" s="10"/>
      <x:c r="Y65"/>
      <x:c r="Z65"/>
      <x:c r="AA65"/>
      <x:c r="AC65"/>
      <x:c r="AE65" s="10"/>
      <x:c r="AF65"/>
      <x:c r="AG65"/>
      <x:c r="AH65"/>
      <x:c r="AJ65"/>
      <x:c r="AL65" s="10"/>
      <x:c r="AM65"/>
      <x:c r="AN65"/>
    </x:row>
    <x:row r="66">
      <x:c r="D66" s="10"/>
      <x:c r="E66"/>
      <x:c r="F66"/>
      <x:c r="G66"/>
      <x:c r="I66"/>
      <x:c r="K66" s="10"/>
      <x:c r="L66"/>
      <x:c r="N66"/>
      <x:c r="O66"/>
      <x:c r="Q66" s="10"/>
      <x:c r="R66"/>
      <x:c r="S66"/>
      <x:c r="T66"/>
      <x:c r="V66"/>
      <x:c r="X66" s="10"/>
      <x:c r="Y66"/>
      <x:c r="Z66"/>
      <x:c r="AA66"/>
      <x:c r="AC66"/>
      <x:c r="AE66" s="10"/>
      <x:c r="AF66"/>
      <x:c r="AG66"/>
      <x:c r="AH66"/>
      <x:c r="AJ66"/>
      <x:c r="AL66" s="10"/>
      <x:c r="AM66"/>
      <x:c r="AN66"/>
    </x:row>
    <x:row r="67">
      <x:c r="D67" s="10"/>
      <x:c r="E67"/>
      <x:c r="F67"/>
      <x:c r="G67"/>
      <x:c r="I67"/>
      <x:c r="K67" s="10"/>
      <x:c r="L67"/>
      <x:c r="N67"/>
      <x:c r="O67"/>
      <x:c r="Q67" s="10"/>
      <x:c r="R67"/>
      <x:c r="S67"/>
      <x:c r="T67"/>
      <x:c r="V67"/>
      <x:c r="X67" s="10"/>
      <x:c r="Y67"/>
      <x:c r="Z67"/>
      <x:c r="AA67"/>
      <x:c r="AC67"/>
      <x:c r="AE67" s="10"/>
      <x:c r="AF67"/>
      <x:c r="AG67"/>
      <x:c r="AH67"/>
      <x:c r="AJ67"/>
      <x:c r="AL67" s="10"/>
      <x:c r="AM67"/>
      <x:c r="AN67"/>
    </x:row>
    <x:row r="68">
      <x:c r="D68" s="10"/>
      <x:c r="E68"/>
      <x:c r="F68"/>
      <x:c r="G68"/>
      <x:c r="I68"/>
      <x:c r="K68" s="10"/>
      <x:c r="L68"/>
      <x:c r="N68"/>
      <x:c r="O68"/>
      <x:c r="Q68" s="10"/>
      <x:c r="R68"/>
      <x:c r="S68"/>
      <x:c r="T68"/>
      <x:c r="V68"/>
      <x:c r="X68" s="10"/>
      <x:c r="Y68"/>
      <x:c r="Z68"/>
      <x:c r="AA68"/>
      <x:c r="AC68"/>
      <x:c r="AE68" s="10"/>
      <x:c r="AF68"/>
      <x:c r="AG68"/>
      <x:c r="AH68"/>
      <x:c r="AJ68"/>
      <x:c r="AL68" s="10"/>
      <x:c r="AM68"/>
      <x:c r="AN68"/>
    </x:row>
    <x:row r="69">
      <x:c r="D69" s="10"/>
      <x:c r="E69"/>
      <x:c r="F69"/>
      <x:c r="G69"/>
      <x:c r="I69"/>
      <x:c r="K69" s="10"/>
      <x:c r="L69"/>
      <x:c r="N69"/>
      <x:c r="O69"/>
      <x:c r="Q69" s="10"/>
      <x:c r="R69"/>
      <x:c r="S69"/>
      <x:c r="T69"/>
      <x:c r="V69"/>
      <x:c r="X69" s="10"/>
      <x:c r="Y69"/>
      <x:c r="Z69"/>
      <x:c r="AA69"/>
      <x:c r="AC69"/>
      <x:c r="AE69" s="10"/>
      <x:c r="AF69"/>
      <x:c r="AG69"/>
      <x:c r="AH69"/>
      <x:c r="AJ69"/>
      <x:c r="AL69" s="10"/>
      <x:c r="AM69"/>
      <x:c r="AN69"/>
    </x:row>
    <x:row r="70">
      <x:c r="D70" s="10"/>
      <x:c r="E70"/>
      <x:c r="F70"/>
      <x:c r="G70"/>
      <x:c r="I70"/>
      <x:c r="K70" s="10"/>
      <x:c r="L70"/>
      <x:c r="N70"/>
      <x:c r="O70"/>
      <x:c r="Q70" s="10"/>
      <x:c r="R70"/>
      <x:c r="S70"/>
      <x:c r="T70"/>
      <x:c r="V70"/>
      <x:c r="X70" s="10"/>
      <x:c r="Y70"/>
      <x:c r="Z70"/>
      <x:c r="AA70"/>
      <x:c r="AC70"/>
      <x:c r="AE70" s="10"/>
      <x:c r="AF70"/>
      <x:c r="AG70"/>
      <x:c r="AH70"/>
      <x:c r="AJ70"/>
      <x:c r="AL70" s="10"/>
      <x:c r="AM70"/>
      <x:c r="AN70"/>
    </x:row>
    <x:row r="71">
      <x:c r="D71" s="10"/>
      <x:c r="E71"/>
      <x:c r="F71"/>
      <x:c r="G71"/>
      <x:c r="I71"/>
      <x:c r="K71" s="10"/>
      <x:c r="L71"/>
      <x:c r="N71"/>
      <x:c r="O71"/>
      <x:c r="Q71" s="10"/>
      <x:c r="R71"/>
      <x:c r="S71"/>
      <x:c r="T71"/>
      <x:c r="V71"/>
      <x:c r="X71" s="10"/>
      <x:c r="Y71"/>
      <x:c r="Z71"/>
      <x:c r="AA71"/>
      <x:c r="AC71"/>
      <x:c r="AE71" s="10"/>
      <x:c r="AF71"/>
      <x:c r="AG71"/>
      <x:c r="AH71"/>
      <x:c r="AJ71"/>
      <x:c r="AL71" s="10"/>
      <x:c r="AM71"/>
      <x:c r="AN71"/>
    </x:row>
    <x:row r="72">
      <x:c r="D72" s="10"/>
      <x:c r="E72"/>
      <x:c r="F72"/>
      <x:c r="G72"/>
      <x:c r="I72"/>
      <x:c r="K72" s="10"/>
      <x:c r="L72"/>
      <x:c r="N72"/>
      <x:c r="O72"/>
      <x:c r="Q72" s="10"/>
      <x:c r="R72"/>
      <x:c r="S72"/>
      <x:c r="T72"/>
      <x:c r="V72"/>
      <x:c r="X72" s="10"/>
      <x:c r="Y72"/>
      <x:c r="Z72"/>
      <x:c r="AA72"/>
      <x:c r="AC72"/>
      <x:c r="AE72" s="10"/>
      <x:c r="AF72"/>
      <x:c r="AG72"/>
      <x:c r="AH72"/>
      <x:c r="AJ72"/>
      <x:c r="AL72" s="10"/>
      <x:c r="AM72"/>
      <x:c r="AN72"/>
    </x:row>
    <x:row r="73">
      <x:c r="D73" s="10"/>
      <x:c r="E73"/>
      <x:c r="F73"/>
      <x:c r="G73"/>
      <x:c r="I73"/>
      <x:c r="K73" s="10"/>
      <x:c r="L73"/>
      <x:c r="N73"/>
      <x:c r="O73"/>
      <x:c r="Q73" s="10"/>
      <x:c r="R73"/>
      <x:c r="S73"/>
      <x:c r="T73"/>
      <x:c r="V73"/>
      <x:c r="X73" s="10"/>
      <x:c r="Y73"/>
      <x:c r="Z73"/>
      <x:c r="AA73"/>
      <x:c r="AC73"/>
      <x:c r="AE73" s="10"/>
      <x:c r="AF73"/>
      <x:c r="AG73"/>
      <x:c r="AH73"/>
      <x:c r="AJ73"/>
      <x:c r="AL73" s="10"/>
      <x:c r="AM73"/>
      <x:c r="AN73"/>
    </x:row>
    <x:row r="74">
      <x:c r="D74" s="10"/>
      <x:c r="E74"/>
      <x:c r="F74"/>
      <x:c r="G74"/>
      <x:c r="I74"/>
      <x:c r="K74" s="10"/>
      <x:c r="L74"/>
      <x:c r="N74"/>
      <x:c r="O74"/>
      <x:c r="Q74" s="10"/>
      <x:c r="R74"/>
      <x:c r="S74"/>
      <x:c r="T74"/>
      <x:c r="V74"/>
      <x:c r="X74" s="10"/>
      <x:c r="Y74"/>
      <x:c r="Z74"/>
      <x:c r="AA74"/>
      <x:c r="AC74"/>
      <x:c r="AE74" s="10"/>
      <x:c r="AF74"/>
      <x:c r="AG74"/>
      <x:c r="AH74"/>
      <x:c r="AJ74"/>
      <x:c r="AL74" s="10"/>
      <x:c r="AM74"/>
      <x:c r="AN74"/>
    </x:row>
    <x:row r="75">
      <x:c r="D75" s="10"/>
      <x:c r="E75"/>
      <x:c r="F75"/>
      <x:c r="G75"/>
      <x:c r="I75"/>
      <x:c r="K75" s="10"/>
      <x:c r="L75"/>
      <x:c r="N75"/>
      <x:c r="O75"/>
      <x:c r="Q75" s="10"/>
      <x:c r="R75"/>
      <x:c r="S75"/>
      <x:c r="T75"/>
      <x:c r="V75"/>
      <x:c r="X75" s="10"/>
      <x:c r="Y75"/>
      <x:c r="Z75"/>
      <x:c r="AA75"/>
      <x:c r="AC75"/>
      <x:c r="AE75" s="10"/>
      <x:c r="AF75"/>
      <x:c r="AG75"/>
      <x:c r="AH75"/>
      <x:c r="AJ75"/>
      <x:c r="AL75" s="10"/>
      <x:c r="AM75"/>
      <x:c r="AN75"/>
    </x:row>
    <x:row r="76">
      <x:c r="D76" s="10"/>
      <x:c r="E76"/>
      <x:c r="F76"/>
      <x:c r="G76"/>
      <x:c r="I76"/>
      <x:c r="K76" s="10"/>
      <x:c r="L76"/>
      <x:c r="N76"/>
      <x:c r="O76"/>
      <x:c r="Q76" s="10"/>
      <x:c r="R76"/>
      <x:c r="S76"/>
      <x:c r="T76"/>
      <x:c r="V76"/>
      <x:c r="X76" s="10"/>
      <x:c r="Y76"/>
      <x:c r="Z76"/>
      <x:c r="AA76"/>
      <x:c r="AC76"/>
      <x:c r="AE76" s="10"/>
      <x:c r="AF76"/>
      <x:c r="AG76"/>
      <x:c r="AH76"/>
      <x:c r="AJ76"/>
      <x:c r="AL76" s="10"/>
      <x:c r="AM76"/>
      <x:c r="AN76"/>
    </x:row>
    <x:row r="77">
      <x:c r="D77" s="10"/>
      <x:c r="E77"/>
      <x:c r="F77"/>
      <x:c r="G77"/>
      <x:c r="I77"/>
      <x:c r="K77" s="10"/>
      <x:c r="L77"/>
      <x:c r="N77"/>
      <x:c r="O77"/>
      <x:c r="Q77" s="10"/>
      <x:c r="R77"/>
      <x:c r="S77"/>
      <x:c r="T77"/>
      <x:c r="V77"/>
      <x:c r="X77" s="10"/>
      <x:c r="Y77"/>
      <x:c r="Z77"/>
      <x:c r="AA77"/>
      <x:c r="AC77"/>
      <x:c r="AE77" s="10"/>
      <x:c r="AF77"/>
      <x:c r="AG77"/>
      <x:c r="AH77"/>
      <x:c r="AJ77"/>
      <x:c r="AL77" s="10"/>
      <x:c r="AM77"/>
      <x:c r="AN77"/>
    </x:row>
    <x:row r="78">
      <x:c r="D78" s="10"/>
      <x:c r="E78"/>
      <x:c r="F78"/>
      <x:c r="G78"/>
      <x:c r="I78"/>
      <x:c r="K78" s="10"/>
      <x:c r="L78"/>
      <x:c r="N78"/>
      <x:c r="O78"/>
      <x:c r="Q78" s="10"/>
      <x:c r="R78"/>
      <x:c r="S78"/>
      <x:c r="T78"/>
      <x:c r="V78"/>
      <x:c r="X78" s="10"/>
      <x:c r="Y78"/>
      <x:c r="Z78"/>
      <x:c r="AA78"/>
      <x:c r="AC78"/>
      <x:c r="AE78" s="10"/>
      <x:c r="AF78"/>
      <x:c r="AG78"/>
      <x:c r="AH78"/>
      <x:c r="AJ78"/>
      <x:c r="AL78" s="10"/>
      <x:c r="AM78"/>
      <x:c r="AN78"/>
    </x:row>
    <x:row r="79">
      <x:c r="D79" s="10"/>
      <x:c r="E79"/>
      <x:c r="F79"/>
      <x:c r="G79"/>
      <x:c r="I79"/>
      <x:c r="K79" s="10"/>
      <x:c r="L79"/>
      <x:c r="N79"/>
      <x:c r="O79"/>
      <x:c r="Q79" s="10"/>
      <x:c r="R79"/>
      <x:c r="S79"/>
      <x:c r="T79"/>
      <x:c r="V79"/>
      <x:c r="X79" s="10"/>
      <x:c r="Y79"/>
      <x:c r="Z79"/>
      <x:c r="AA79"/>
      <x:c r="AC79"/>
      <x:c r="AE79" s="10"/>
      <x:c r="AF79"/>
      <x:c r="AG79"/>
      <x:c r="AH79"/>
      <x:c r="AJ79"/>
      <x:c r="AL79" s="10"/>
      <x:c r="AM79"/>
      <x:c r="AN79"/>
    </x:row>
    <x:row r="80">
      <x:c r="D80" s="10"/>
      <x:c r="E80"/>
      <x:c r="F80"/>
      <x:c r="G80"/>
      <x:c r="I80"/>
      <x:c r="K80" s="10"/>
      <x:c r="L80"/>
      <x:c r="N80"/>
      <x:c r="O80"/>
      <x:c r="Q80" s="10"/>
      <x:c r="R80"/>
      <x:c r="S80"/>
      <x:c r="T80"/>
      <x:c r="V80"/>
      <x:c r="X80" s="10"/>
      <x:c r="Y80"/>
      <x:c r="Z80"/>
      <x:c r="AA80"/>
      <x:c r="AC80"/>
      <x:c r="AE80" s="10"/>
      <x:c r="AF80"/>
      <x:c r="AG80"/>
      <x:c r="AH80"/>
      <x:c r="AJ80"/>
      <x:c r="AL80" s="10"/>
      <x:c r="AM80"/>
      <x:c r="AN80"/>
    </x:row>
    <x:row r="81">
      <x:c r="D81" s="10"/>
      <x:c r="E81"/>
      <x:c r="F81"/>
      <x:c r="G81"/>
      <x:c r="I81"/>
      <x:c r="K81" s="10"/>
      <x:c r="L81"/>
      <x:c r="N81"/>
      <x:c r="O81"/>
      <x:c r="Q81" s="10"/>
      <x:c r="R81"/>
      <x:c r="S81"/>
      <x:c r="T81"/>
      <x:c r="V81"/>
      <x:c r="X81" s="10"/>
      <x:c r="Y81"/>
      <x:c r="Z81"/>
      <x:c r="AA81"/>
      <x:c r="AC81"/>
      <x:c r="AE81" s="10"/>
      <x:c r="AF81"/>
      <x:c r="AG81"/>
      <x:c r="AH81"/>
      <x:c r="AJ81"/>
      <x:c r="AL81" s="10"/>
      <x:c r="AM81"/>
      <x:c r="AN81"/>
    </x:row>
    <x:row r="82">
      <x:c r="D82" s="10"/>
      <x:c r="E82"/>
      <x:c r="F82"/>
      <x:c r="G82"/>
      <x:c r="I82"/>
      <x:c r="K82" s="10"/>
      <x:c r="L82"/>
      <x:c r="N82"/>
      <x:c r="O82"/>
      <x:c r="Q82" s="10"/>
      <x:c r="R82"/>
      <x:c r="S82"/>
      <x:c r="T82"/>
      <x:c r="V82"/>
      <x:c r="X82" s="10"/>
      <x:c r="Y82"/>
      <x:c r="Z82"/>
      <x:c r="AA82"/>
      <x:c r="AC82"/>
      <x:c r="AE82" s="10"/>
      <x:c r="AF82"/>
      <x:c r="AG82"/>
      <x:c r="AH82"/>
      <x:c r="AJ82"/>
      <x:c r="AL82" s="10"/>
      <x:c r="AM82"/>
      <x:c r="AN82"/>
    </x:row>
    <x:row r="83">
      <x:c r="D83" s="10"/>
      <x:c r="E83"/>
      <x:c r="F83"/>
      <x:c r="G83"/>
      <x:c r="I83"/>
      <x:c r="K83" s="10"/>
      <x:c r="L83"/>
      <x:c r="N83"/>
      <x:c r="O83"/>
      <x:c r="Q83" s="10"/>
      <x:c r="R83"/>
      <x:c r="S83"/>
      <x:c r="T83"/>
      <x:c r="V83"/>
      <x:c r="X83" s="10"/>
      <x:c r="Y83"/>
      <x:c r="Z83"/>
      <x:c r="AA83"/>
      <x:c r="AC83"/>
      <x:c r="AE83" s="10"/>
      <x:c r="AF83"/>
      <x:c r="AG83"/>
      <x:c r="AH83"/>
      <x:c r="AJ83"/>
      <x:c r="AL83" s="10"/>
      <x:c r="AM83"/>
      <x:c r="AN83"/>
    </x:row>
    <x:row r="84">
      <x:c r="D84" s="10"/>
      <x:c r="E84"/>
      <x:c r="F84"/>
      <x:c r="G84"/>
      <x:c r="I84"/>
      <x:c r="K84" s="10"/>
      <x:c r="L84"/>
      <x:c r="N84"/>
      <x:c r="O84"/>
      <x:c r="Q84" s="10"/>
      <x:c r="R84"/>
      <x:c r="S84"/>
      <x:c r="T84"/>
      <x:c r="V84"/>
      <x:c r="X84" s="10"/>
      <x:c r="Y84"/>
      <x:c r="Z84"/>
      <x:c r="AA84"/>
      <x:c r="AC84"/>
      <x:c r="AE84" s="10"/>
      <x:c r="AF84"/>
      <x:c r="AG84"/>
      <x:c r="AH84"/>
      <x:c r="AJ84"/>
      <x:c r="AL84" s="10"/>
      <x:c r="AM84"/>
      <x:c r="AN84"/>
    </x:row>
    <x:row r="85">
      <x:c r="D85" s="10"/>
      <x:c r="E85"/>
      <x:c r="F85"/>
      <x:c r="G85"/>
      <x:c r="I85"/>
      <x:c r="K85" s="10"/>
      <x:c r="L85"/>
      <x:c r="N85"/>
      <x:c r="O85"/>
      <x:c r="Q85" s="10"/>
      <x:c r="R85"/>
      <x:c r="S85"/>
      <x:c r="T85"/>
      <x:c r="V85"/>
      <x:c r="X85" s="10"/>
      <x:c r="Y85"/>
      <x:c r="Z85"/>
      <x:c r="AA85"/>
      <x:c r="AC85"/>
      <x:c r="AE85" s="10"/>
      <x:c r="AF85"/>
      <x:c r="AG85"/>
      <x:c r="AH85"/>
      <x:c r="AJ85"/>
      <x:c r="AL85" s="10"/>
      <x:c r="AM85"/>
      <x:c r="AN85"/>
    </x:row>
    <x:row r="86">
      <x:c r="D86" s="10"/>
      <x:c r="E86"/>
      <x:c r="F86"/>
      <x:c r="G86"/>
      <x:c r="I86"/>
      <x:c r="K86" s="10"/>
      <x:c r="L86"/>
      <x:c r="N86"/>
      <x:c r="O86"/>
      <x:c r="Q86" s="10"/>
      <x:c r="R86"/>
      <x:c r="S86"/>
      <x:c r="T86"/>
      <x:c r="V86"/>
      <x:c r="X86" s="10"/>
      <x:c r="Y86"/>
      <x:c r="Z86"/>
      <x:c r="AA86"/>
      <x:c r="AC86"/>
      <x:c r="AE86" s="10"/>
      <x:c r="AF86"/>
      <x:c r="AG86"/>
      <x:c r="AH86"/>
      <x:c r="AJ86"/>
      <x:c r="AL86" s="10"/>
      <x:c r="AM86"/>
      <x:c r="AN86"/>
    </x:row>
    <x:row r="87">
      <x:c r="D87" s="10"/>
      <x:c r="E87"/>
      <x:c r="F87"/>
      <x:c r="G87"/>
      <x:c r="I87"/>
      <x:c r="K87" s="10"/>
      <x:c r="L87"/>
      <x:c r="N87"/>
      <x:c r="O87"/>
      <x:c r="Q87" s="10"/>
      <x:c r="R87"/>
      <x:c r="S87"/>
      <x:c r="T87"/>
      <x:c r="V87"/>
      <x:c r="X87" s="10"/>
      <x:c r="Y87"/>
      <x:c r="Z87"/>
      <x:c r="AA87"/>
      <x:c r="AC87"/>
      <x:c r="AE87" s="10"/>
      <x:c r="AF87"/>
      <x:c r="AG87"/>
      <x:c r="AH87"/>
      <x:c r="AJ87"/>
      <x:c r="AL87" s="10"/>
      <x:c r="AM87"/>
      <x:c r="AN87"/>
    </x:row>
    <x:row r="88">
      <x:c r="D88" s="10"/>
      <x:c r="E88"/>
      <x:c r="F88"/>
      <x:c r="G88"/>
      <x:c r="I88"/>
      <x:c r="K88" s="10"/>
      <x:c r="L88"/>
      <x:c r="N88"/>
      <x:c r="O88"/>
      <x:c r="Q88" s="10"/>
      <x:c r="R88"/>
      <x:c r="S88"/>
      <x:c r="T88"/>
      <x:c r="V88"/>
      <x:c r="X88" s="10"/>
      <x:c r="Y88"/>
      <x:c r="Z88"/>
      <x:c r="AA88"/>
      <x:c r="AC88"/>
      <x:c r="AE88" s="10"/>
      <x:c r="AF88"/>
      <x:c r="AG88"/>
      <x:c r="AH88"/>
      <x:c r="AJ88"/>
      <x:c r="AL88" s="10"/>
      <x:c r="AM88"/>
      <x:c r="AN88"/>
    </x:row>
    <x:row r="89">
      <x:c r="D89" s="10"/>
      <x:c r="E89"/>
      <x:c r="F89"/>
      <x:c r="G89"/>
      <x:c r="I89"/>
      <x:c r="K89" s="10"/>
      <x:c r="L89"/>
      <x:c r="N89"/>
      <x:c r="O89"/>
      <x:c r="Q89" s="10"/>
      <x:c r="R89"/>
      <x:c r="S89"/>
      <x:c r="T89"/>
      <x:c r="V89"/>
      <x:c r="X89" s="10"/>
      <x:c r="Y89"/>
      <x:c r="Z89"/>
      <x:c r="AA89"/>
      <x:c r="AC89"/>
      <x:c r="AE89" s="10"/>
      <x:c r="AF89"/>
      <x:c r="AG89"/>
      <x:c r="AH89"/>
      <x:c r="AJ89"/>
      <x:c r="AL89" s="10"/>
      <x:c r="AM89"/>
      <x:c r="AN89"/>
    </x:row>
    <x:row r="90">
      <x:c r="D90" s="10"/>
      <x:c r="E90"/>
      <x:c r="F90"/>
      <x:c r="G90"/>
      <x:c r="I90"/>
      <x:c r="K90" s="10"/>
      <x:c r="L90"/>
      <x:c r="N90"/>
      <x:c r="O90"/>
      <x:c r="Q90" s="10"/>
      <x:c r="R90"/>
      <x:c r="S90"/>
      <x:c r="T90"/>
      <x:c r="V90"/>
      <x:c r="X90" s="10"/>
      <x:c r="Y90"/>
      <x:c r="Z90"/>
      <x:c r="AA90"/>
      <x:c r="AC90"/>
      <x:c r="AE90" s="10"/>
      <x:c r="AF90"/>
      <x:c r="AG90"/>
      <x:c r="AH90"/>
      <x:c r="AJ90"/>
      <x:c r="AL90" s="10"/>
      <x:c r="AM90"/>
      <x:c r="AN90"/>
    </x:row>
    <x:row r="91">
      <x:c r="D91" s="10"/>
      <x:c r="E91"/>
      <x:c r="F91"/>
      <x:c r="G91"/>
      <x:c r="I91"/>
      <x:c r="K91" s="10"/>
      <x:c r="L91"/>
      <x:c r="N91"/>
      <x:c r="O91"/>
      <x:c r="Q91" s="10"/>
      <x:c r="R91"/>
      <x:c r="S91"/>
      <x:c r="T91"/>
      <x:c r="V91"/>
      <x:c r="X91" s="10"/>
      <x:c r="Y91"/>
      <x:c r="Z91"/>
      <x:c r="AA91"/>
      <x:c r="AC91"/>
      <x:c r="AE91" s="10"/>
      <x:c r="AF91"/>
      <x:c r="AG91"/>
      <x:c r="AH91"/>
      <x:c r="AJ91"/>
      <x:c r="AL91" s="10"/>
      <x:c r="AM91"/>
      <x:c r="AN91"/>
    </x:row>
    <x:row r="92">
      <x:c r="D92" s="10"/>
      <x:c r="E92"/>
      <x:c r="F92"/>
      <x:c r="G92"/>
      <x:c r="I92"/>
      <x:c r="K92" s="10"/>
      <x:c r="L92"/>
      <x:c r="N92"/>
      <x:c r="O92"/>
      <x:c r="Q92" s="10"/>
      <x:c r="R92"/>
      <x:c r="S92"/>
      <x:c r="T92"/>
      <x:c r="V92"/>
      <x:c r="X92" s="10"/>
      <x:c r="Y92"/>
      <x:c r="Z92"/>
      <x:c r="AA92"/>
      <x:c r="AC92"/>
      <x:c r="AE92" s="10"/>
      <x:c r="AF92"/>
      <x:c r="AG92"/>
      <x:c r="AH92"/>
      <x:c r="AJ92"/>
      <x:c r="AL92" s="10"/>
      <x:c r="AM92"/>
      <x:c r="AN92"/>
    </x:row>
    <x:row r="93">
      <x:c r="D93" s="10"/>
      <x:c r="E93"/>
      <x:c r="F93"/>
      <x:c r="G93"/>
      <x:c r="I93"/>
      <x:c r="K93" s="10"/>
      <x:c r="L93"/>
      <x:c r="N93"/>
      <x:c r="O93"/>
      <x:c r="Q93" s="10"/>
      <x:c r="R93"/>
      <x:c r="S93"/>
      <x:c r="T93"/>
      <x:c r="V93"/>
      <x:c r="X93" s="10"/>
      <x:c r="Y93"/>
      <x:c r="Z93"/>
      <x:c r="AA93"/>
      <x:c r="AC93"/>
      <x:c r="AE93" s="10"/>
      <x:c r="AF93"/>
      <x:c r="AG93"/>
      <x:c r="AH93"/>
      <x:c r="AJ93"/>
      <x:c r="AL93" s="10"/>
      <x:c r="AM93"/>
      <x:c r="AN93"/>
    </x:row>
    <x:row r="94">
      <x:c r="D94" s="10"/>
      <x:c r="E94"/>
      <x:c r="F94"/>
      <x:c r="G94"/>
      <x:c r="I94"/>
      <x:c r="K94" s="10"/>
      <x:c r="L94"/>
      <x:c r="N94"/>
      <x:c r="O94"/>
      <x:c r="Q94" s="10"/>
      <x:c r="R94"/>
      <x:c r="S94"/>
      <x:c r="T94"/>
      <x:c r="V94"/>
      <x:c r="X94" s="10"/>
      <x:c r="Y94"/>
      <x:c r="Z94"/>
      <x:c r="AA94"/>
      <x:c r="AC94"/>
      <x:c r="AE94" s="10"/>
      <x:c r="AF94"/>
      <x:c r="AG94"/>
      <x:c r="AH94"/>
      <x:c r="AJ94"/>
      <x:c r="AL94" s="10"/>
      <x:c r="AM94"/>
      <x:c r="AN94"/>
    </x:row>
    <x:row r="95">
      <x:c r="D95" s="10"/>
      <x:c r="E95"/>
      <x:c r="F95"/>
      <x:c r="G95"/>
      <x:c r="I95"/>
      <x:c r="K95" s="10"/>
      <x:c r="L95"/>
      <x:c r="N95"/>
      <x:c r="O95"/>
      <x:c r="Q95" s="10"/>
      <x:c r="R95"/>
      <x:c r="S95"/>
      <x:c r="T95"/>
      <x:c r="V95"/>
      <x:c r="X95" s="10"/>
      <x:c r="Y95"/>
      <x:c r="Z95"/>
      <x:c r="AA95"/>
      <x:c r="AC95"/>
      <x:c r="AE95" s="10"/>
      <x:c r="AF95"/>
      <x:c r="AG95"/>
      <x:c r="AH95"/>
      <x:c r="AJ95"/>
      <x:c r="AL95" s="10"/>
      <x:c r="AM95"/>
      <x:c r="AN95"/>
    </x:row>
    <x:row r="96">
      <x:c r="D96" s="10"/>
      <x:c r="E96"/>
      <x:c r="F96"/>
      <x:c r="G96"/>
      <x:c r="I96"/>
      <x:c r="K96" s="10"/>
      <x:c r="L96"/>
      <x:c r="N96"/>
      <x:c r="O96"/>
      <x:c r="Q96" s="10"/>
      <x:c r="R96"/>
      <x:c r="S96"/>
      <x:c r="T96"/>
      <x:c r="V96"/>
      <x:c r="X96" s="10"/>
      <x:c r="Y96"/>
      <x:c r="Z96"/>
      <x:c r="AA96"/>
      <x:c r="AC96"/>
      <x:c r="AE96" s="10"/>
      <x:c r="AF96"/>
      <x:c r="AG96"/>
      <x:c r="AH96"/>
      <x:c r="AJ96"/>
      <x:c r="AL96" s="10"/>
      <x:c r="AM96"/>
      <x:c r="AN96"/>
    </x:row>
    <x:row r="97">
      <x:c r="D97" s="10"/>
      <x:c r="E97"/>
      <x:c r="F97"/>
      <x:c r="G97"/>
      <x:c r="I97"/>
      <x:c r="K97" s="10"/>
      <x:c r="L97"/>
      <x:c r="N97"/>
      <x:c r="O97"/>
      <x:c r="Q97" s="10"/>
      <x:c r="R97"/>
      <x:c r="S97"/>
      <x:c r="T97"/>
      <x:c r="V97"/>
      <x:c r="X97" s="10"/>
      <x:c r="Y97"/>
      <x:c r="Z97"/>
      <x:c r="AA97"/>
      <x:c r="AC97"/>
      <x:c r="AE97" s="10"/>
      <x:c r="AF97"/>
      <x:c r="AG97"/>
      <x:c r="AH97"/>
      <x:c r="AJ97"/>
      <x:c r="AL97" s="10"/>
      <x:c r="AM97"/>
      <x:c r="AN97"/>
    </x:row>
    <x:row r="98">
      <x:c r="D98" s="10"/>
      <x:c r="E98"/>
      <x:c r="F98"/>
      <x:c r="G98"/>
      <x:c r="I98"/>
      <x:c r="K98" s="10"/>
      <x:c r="L98"/>
      <x:c r="N98"/>
      <x:c r="O98"/>
      <x:c r="Q98" s="10"/>
      <x:c r="R98"/>
      <x:c r="S98"/>
      <x:c r="T98"/>
      <x:c r="V98"/>
      <x:c r="X98" s="10"/>
      <x:c r="Y98"/>
      <x:c r="Z98"/>
      <x:c r="AA98"/>
      <x:c r="AC98"/>
      <x:c r="AE98" s="10"/>
      <x:c r="AF98"/>
      <x:c r="AG98"/>
      <x:c r="AH98"/>
      <x:c r="AJ98"/>
      <x:c r="AL98" s="10"/>
      <x:c r="AM98"/>
      <x:c r="AN98"/>
    </x:row>
    <x:row r="99">
      <x:c r="D99" s="10"/>
      <x:c r="E99"/>
      <x:c r="F99"/>
      <x:c r="G99"/>
      <x:c r="I99"/>
      <x:c r="K99" s="10"/>
      <x:c r="L99"/>
      <x:c r="N99"/>
      <x:c r="O99"/>
      <x:c r="Q99" s="10"/>
      <x:c r="R99"/>
      <x:c r="S99"/>
      <x:c r="T99"/>
      <x:c r="V99"/>
      <x:c r="X99" s="10"/>
      <x:c r="Y99"/>
      <x:c r="Z99"/>
      <x:c r="AA99"/>
      <x:c r="AC99"/>
      <x:c r="AE99" s="10"/>
      <x:c r="AF99"/>
      <x:c r="AG99"/>
      <x:c r="AH99"/>
      <x:c r="AJ99"/>
      <x:c r="AL99" s="10"/>
      <x:c r="AM99"/>
      <x:c r="AN99"/>
    </x:row>
    <x:row r="100">
      <x:c r="D100" s="10"/>
      <x:c r="E100"/>
      <x:c r="F100"/>
      <x:c r="G100"/>
      <x:c r="I100"/>
      <x:c r="K100" s="10"/>
      <x:c r="L100"/>
      <x:c r="N100"/>
      <x:c r="O100"/>
      <x:c r="Q100" s="10"/>
      <x:c r="R100"/>
      <x:c r="S100"/>
      <x:c r="T100"/>
      <x:c r="V100"/>
      <x:c r="X100" s="10"/>
      <x:c r="Y100"/>
      <x:c r="Z100"/>
      <x:c r="AA100"/>
      <x:c r="AC100"/>
      <x:c r="AE100" s="10"/>
      <x:c r="AF100"/>
      <x:c r="AG100"/>
      <x:c r="AH100"/>
      <x:c r="AJ100"/>
      <x:c r="AL100" s="10"/>
      <x:c r="AM100"/>
      <x:c r="AN100"/>
    </x:row>
    <x:row r="101">
      <x:c r="D101" s="10"/>
      <x:c r="E101"/>
      <x:c r="F101"/>
      <x:c r="G101"/>
      <x:c r="I101"/>
      <x:c r="K101" s="10"/>
      <x:c r="L101"/>
      <x:c r="N101"/>
      <x:c r="O101"/>
      <x:c r="Q101" s="10"/>
      <x:c r="R101"/>
      <x:c r="S101"/>
      <x:c r="T101"/>
      <x:c r="V101"/>
      <x:c r="X101" s="10"/>
      <x:c r="Y101"/>
      <x:c r="Z101"/>
      <x:c r="AA101"/>
      <x:c r="AC101"/>
      <x:c r="AE101" s="10"/>
      <x:c r="AF101"/>
      <x:c r="AG101"/>
      <x:c r="AH101"/>
      <x:c r="AJ101"/>
      <x:c r="AL101" s="10"/>
      <x:c r="AM101"/>
      <x:c r="AN101"/>
    </x:row>
    <x:row r="102">
      <x:c r="D102" s="10"/>
      <x:c r="E102"/>
      <x:c r="F102"/>
      <x:c r="G102"/>
      <x:c r="I102"/>
      <x:c r="K102" s="10"/>
      <x:c r="L102"/>
      <x:c r="N102"/>
      <x:c r="O102"/>
      <x:c r="Q102" s="10"/>
      <x:c r="R102"/>
      <x:c r="S102"/>
      <x:c r="T102"/>
      <x:c r="V102"/>
      <x:c r="X102" s="10"/>
      <x:c r="Y102"/>
      <x:c r="Z102"/>
      <x:c r="AA102"/>
      <x:c r="AC102"/>
      <x:c r="AE102" s="10"/>
      <x:c r="AF102"/>
      <x:c r="AG102"/>
      <x:c r="AH102"/>
      <x:c r="AJ102"/>
      <x:c r="AL102" s="10"/>
      <x:c r="AM102"/>
      <x:c r="AN102"/>
    </x:row>
    <x:row r="103">
      <x:c r="D103" s="10"/>
      <x:c r="E103"/>
      <x:c r="F103"/>
      <x:c r="G103"/>
      <x:c r="I103"/>
      <x:c r="K103" s="10"/>
      <x:c r="L103"/>
      <x:c r="N103"/>
      <x:c r="O103"/>
      <x:c r="Q103" s="10"/>
      <x:c r="R103"/>
      <x:c r="S103"/>
      <x:c r="T103"/>
      <x:c r="V103"/>
      <x:c r="X103" s="10"/>
      <x:c r="Y103"/>
      <x:c r="Z103"/>
      <x:c r="AA103"/>
      <x:c r="AC103"/>
      <x:c r="AE103" s="10"/>
      <x:c r="AF103"/>
      <x:c r="AG103"/>
      <x:c r="AH103"/>
      <x:c r="AJ103"/>
      <x:c r="AL103" s="10"/>
      <x:c r="AM103"/>
      <x:c r="AN103"/>
    </x:row>
    <x:row r="104">
      <x:c r="D104" s="10"/>
      <x:c r="E104"/>
      <x:c r="F104"/>
      <x:c r="G104"/>
      <x:c r="I104"/>
      <x:c r="K104" s="10"/>
      <x:c r="L104"/>
      <x:c r="N104"/>
      <x:c r="O104"/>
      <x:c r="Q104" s="10"/>
      <x:c r="R104"/>
      <x:c r="S104"/>
      <x:c r="T104"/>
      <x:c r="V104"/>
      <x:c r="X104" s="10"/>
      <x:c r="Y104"/>
      <x:c r="Z104"/>
      <x:c r="AA104"/>
      <x:c r="AC104"/>
      <x:c r="AE104" s="10"/>
      <x:c r="AF104"/>
      <x:c r="AG104"/>
      <x:c r="AH104"/>
      <x:c r="AJ104"/>
      <x:c r="AL104" s="10"/>
      <x:c r="AM104"/>
      <x:c r="AN104"/>
    </x:row>
    <x:row r="105">
      <x:c r="D105" s="10"/>
      <x:c r="E105"/>
      <x:c r="F105"/>
      <x:c r="G105"/>
      <x:c r="H105"/>
      <x:c r="I105"/>
      <x:c r="K105" s="10"/>
      <x:c r="L105"/>
      <x:c r="M105"/>
      <x:c r="N105"/>
      <x:c r="O105"/>
      <x:c r="Q105" s="10"/>
      <x:c r="R105"/>
      <x:c r="S105"/>
      <x:c r="T105"/>
      <x:c r="V105"/>
      <x:c r="X105" s="10"/>
      <x:c r="Y105"/>
      <x:c r="Z105"/>
      <x:c r="AA105"/>
      <x:c r="AC105"/>
      <x:c r="AE105" s="10"/>
      <x:c r="AF105"/>
      <x:c r="AG105"/>
      <x:c r="AH105"/>
      <x:c r="AJ105"/>
      <x:c r="AL105" s="10"/>
      <x:c r="AM105"/>
      <x:c r="AN105"/>
    </x:row>
    <x:row r="106">
      <x:c r="Q106" s="10"/>
      <x:c r="R106"/>
      <x:c r="S106"/>
      <x:c r="T106"/>
      <x:c r="V106"/>
      <x:c r="X106" s="10"/>
      <x:c r="Y106"/>
      <x:c r="Z106"/>
      <x:c r="AA106"/>
      <x:c r="AC106"/>
      <x:c r="AE106" s="10"/>
      <x:c r="AF106"/>
      <x:c r="AG106"/>
      <x:c r="AH106"/>
      <x:c r="AJ106"/>
      <x:c r="AL106" s="10"/>
      <x:c r="AM106"/>
      <x:c r="AN106"/>
    </x:row>
    <x:row r="107">
      <x:c r="Q107" s="10"/>
      <x:c r="R107"/>
      <x:c r="S107"/>
      <x:c r="T107"/>
      <x:c r="V107"/>
      <x:c r="X107" s="10"/>
      <x:c r="Y107"/>
      <x:c r="Z107"/>
      <x:c r="AA107"/>
      <x:c r="AC107"/>
      <x:c r="AE107" s="10"/>
      <x:c r="AF107"/>
      <x:c r="AG107"/>
      <x:c r="AH107"/>
      <x:c r="AJ107"/>
      <x:c r="AL107" s="10"/>
      <x:c r="AM107"/>
      <x:c r="AN107"/>
    </x:row>
    <x:row r="108">
      <x:c r="Q108" s="10"/>
      <x:c r="R108"/>
      <x:c r="S108"/>
      <x:c r="T108"/>
      <x:c r="V108"/>
      <x:c r="X108" s="10"/>
      <x:c r="Y108"/>
      <x:c r="Z108"/>
      <x:c r="AA108"/>
      <x:c r="AC108"/>
      <x:c r="AE108" s="10"/>
      <x:c r="AF108"/>
      <x:c r="AG108"/>
      <x:c r="AH108"/>
      <x:c r="AJ108"/>
      <x:c r="AL108" s="10"/>
      <x:c r="AM108"/>
      <x:c r="AN108"/>
    </x:row>
    <x:row r="109">
      <x:c r="Q109" s="10"/>
      <x:c r="R109"/>
      <x:c r="S109"/>
      <x:c r="T109"/>
      <x:c r="V109"/>
      <x:c r="X109" s="10"/>
      <x:c r="Y109"/>
      <x:c r="Z109"/>
      <x:c r="AA109"/>
      <x:c r="AC109"/>
      <x:c r="AE109" s="10"/>
      <x:c r="AF109"/>
      <x:c r="AG109"/>
      <x:c r="AH109"/>
      <x:c r="AJ109"/>
      <x:c r="AL109" s="10"/>
      <x:c r="AM109"/>
      <x:c r="AN109"/>
    </x:row>
    <x:row r="110">
      <x:c r="Q110" s="10"/>
      <x:c r="R110"/>
      <x:c r="S110"/>
      <x:c r="T110"/>
      <x:c r="V110"/>
      <x:c r="X110" s="10"/>
      <x:c r="Y110"/>
      <x:c r="Z110"/>
      <x:c r="AA110"/>
      <x:c r="AC110"/>
      <x:c r="AE110" s="10"/>
      <x:c r="AF110"/>
      <x:c r="AG110"/>
      <x:c r="AH110"/>
      <x:c r="AJ110"/>
      <x:c r="AL110" s="10"/>
      <x:c r="AM110"/>
      <x:c r="AN110"/>
    </x:row>
    <x:row r="111">
      <x:c r="Q111" s="10"/>
      <x:c r="R111"/>
      <x:c r="S111"/>
      <x:c r="T111"/>
      <x:c r="V111"/>
      <x:c r="X111" s="10"/>
      <x:c r="Y111"/>
      <x:c r="Z111"/>
      <x:c r="AA111"/>
      <x:c r="AC111"/>
      <x:c r="AE111" s="10"/>
      <x:c r="AF111"/>
      <x:c r="AG111"/>
      <x:c r="AH111"/>
      <x:c r="AJ111"/>
      <x:c r="AL111" s="10"/>
      <x:c r="AM111"/>
      <x:c r="AN111"/>
    </x:row>
    <x:row r="112">
      <x:c r="Q112" s="10"/>
      <x:c r="R112"/>
      <x:c r="S112"/>
      <x:c r="T112"/>
      <x:c r="V112"/>
      <x:c r="X112" s="10"/>
      <x:c r="Y112"/>
      <x:c r="Z112"/>
      <x:c r="AA112"/>
      <x:c r="AC112"/>
      <x:c r="AE112" s="10"/>
      <x:c r="AF112"/>
      <x:c r="AG112"/>
      <x:c r="AH112"/>
      <x:c r="AJ112"/>
      <x:c r="AL112" s="10"/>
      <x:c r="AM112"/>
      <x:c r="AN112"/>
    </x:row>
    <x:row r="113">
      <x:c r="Q113" s="10"/>
      <x:c r="R113"/>
      <x:c r="S113"/>
      <x:c r="T113"/>
      <x:c r="V113"/>
      <x:c r="X113" s="10"/>
      <x:c r="Y113"/>
      <x:c r="Z113"/>
      <x:c r="AA113"/>
      <x:c r="AC113"/>
      <x:c r="AE113" s="10"/>
      <x:c r="AF113"/>
      <x:c r="AG113"/>
      <x:c r="AH113"/>
      <x:c r="AJ113"/>
      <x:c r="AL113" s="10"/>
      <x:c r="AM113"/>
      <x:c r="AN113"/>
    </x:row>
    <x:row r="114">
      <x:c r="Q114" s="10"/>
      <x:c r="R114"/>
      <x:c r="S114"/>
      <x:c r="T114"/>
      <x:c r="V114"/>
      <x:c r="X114" s="10"/>
      <x:c r="Y114"/>
      <x:c r="Z114"/>
      <x:c r="AA114"/>
      <x:c r="AC114"/>
      <x:c r="AE114" s="10"/>
      <x:c r="AF114"/>
      <x:c r="AG114"/>
      <x:c r="AH114"/>
      <x:c r="AJ114"/>
      <x:c r="AL114" s="10"/>
      <x:c r="AM114"/>
      <x:c r="AN114"/>
    </x:row>
    <x:row r="115">
      <x:c r="Q115" s="10"/>
      <x:c r="R115"/>
      <x:c r="S115"/>
      <x:c r="T115"/>
      <x:c r="V115"/>
      <x:c r="X115" s="10"/>
      <x:c r="Y115"/>
      <x:c r="Z115"/>
      <x:c r="AA115"/>
      <x:c r="AC115"/>
      <x:c r="AE115" s="10"/>
      <x:c r="AF115"/>
      <x:c r="AG115"/>
      <x:c r="AH115"/>
      <x:c r="AJ115"/>
      <x:c r="AL115" s="10"/>
      <x:c r="AM115"/>
      <x:c r="AN115"/>
    </x:row>
    <x:row r="116">
      <x:c r="Q116" s="10"/>
      <x:c r="R116"/>
      <x:c r="S116"/>
      <x:c r="T116"/>
      <x:c r="V116"/>
      <x:c r="X116" s="10"/>
      <x:c r="Y116"/>
      <x:c r="Z116"/>
      <x:c r="AA116"/>
      <x:c r="AC116"/>
      <x:c r="AE116" s="10"/>
      <x:c r="AF116"/>
      <x:c r="AG116"/>
      <x:c r="AH116"/>
      <x:c r="AJ116"/>
      <x:c r="AL116" s="10"/>
      <x:c r="AM116"/>
      <x:c r="AN116"/>
    </x:row>
    <x:row r="117">
      <x:c r="Q117" s="10"/>
      <x:c r="R117"/>
      <x:c r="S117"/>
      <x:c r="T117"/>
      <x:c r="V117"/>
      <x:c r="X117" s="10"/>
      <x:c r="Y117"/>
      <x:c r="Z117"/>
      <x:c r="AA117"/>
      <x:c r="AC117"/>
      <x:c r="AE117" s="10"/>
      <x:c r="AF117"/>
      <x:c r="AG117"/>
      <x:c r="AH117"/>
      <x:c r="AJ117"/>
      <x:c r="AL117" s="10"/>
      <x:c r="AM117"/>
      <x:c r="AN117"/>
    </x:row>
    <x:row r="118">
      <x:c r="Q118" s="10"/>
      <x:c r="R118"/>
      <x:c r="S118"/>
      <x:c r="T118"/>
      <x:c r="V118"/>
      <x:c r="X118" s="10"/>
      <x:c r="Y118"/>
      <x:c r="Z118"/>
      <x:c r="AA118"/>
      <x:c r="AC118"/>
      <x:c r="AE118" s="10"/>
      <x:c r="AF118"/>
      <x:c r="AG118"/>
      <x:c r="AH118"/>
      <x:c r="AJ118"/>
      <x:c r="AL118" s="10"/>
      <x:c r="AM118"/>
      <x:c r="AN118"/>
    </x:row>
    <x:row r="119">
      <x:c r="Q119" s="10"/>
      <x:c r="R119"/>
      <x:c r="S119"/>
      <x:c r="T119"/>
      <x:c r="V119"/>
      <x:c r="X119" s="10"/>
      <x:c r="Y119"/>
      <x:c r="Z119"/>
      <x:c r="AA119"/>
      <x:c r="AC119"/>
      <x:c r="AE119" s="10"/>
      <x:c r="AF119"/>
      <x:c r="AG119"/>
      <x:c r="AH119"/>
      <x:c r="AJ119"/>
      <x:c r="AL119" s="10"/>
      <x:c r="AM119"/>
      <x:c r="AN119"/>
    </x:row>
    <x:row r="120">
      <x:c r="Q120" s="10"/>
      <x:c r="R120"/>
      <x:c r="S120"/>
      <x:c r="T120"/>
      <x:c r="V120"/>
      <x:c r="X120" s="10"/>
      <x:c r="Y120"/>
      <x:c r="Z120"/>
      <x:c r="AA120"/>
      <x:c r="AC120"/>
      <x:c r="AE120" s="10"/>
      <x:c r="AF120"/>
      <x:c r="AG120"/>
      <x:c r="AH120"/>
      <x:c r="AJ120"/>
      <x:c r="AL120" s="10"/>
      <x:c r="AM120"/>
      <x:c r="AN120"/>
    </x:row>
    <x:row r="121">
      <x:c r="Q121" s="10"/>
      <x:c r="R121"/>
      <x:c r="S121"/>
      <x:c r="T121"/>
      <x:c r="V121"/>
      <x:c r="X121" s="10"/>
      <x:c r="Y121"/>
      <x:c r="Z121"/>
      <x:c r="AA121"/>
      <x:c r="AC121"/>
      <x:c r="AE121" s="10"/>
      <x:c r="AF121"/>
      <x:c r="AG121"/>
      <x:c r="AH121"/>
      <x:c r="AJ121"/>
      <x:c r="AL121" s="10"/>
      <x:c r="AM121"/>
      <x:c r="AN121"/>
    </x:row>
    <x:row r="122">
      <x:c r="Q122" s="10"/>
      <x:c r="R122"/>
      <x:c r="S122"/>
      <x:c r="T122"/>
      <x:c r="V122"/>
      <x:c r="X122" s="10"/>
      <x:c r="Y122"/>
      <x:c r="Z122"/>
      <x:c r="AA122"/>
      <x:c r="AC122"/>
      <x:c r="AE122" s="10"/>
      <x:c r="AF122"/>
      <x:c r="AG122"/>
      <x:c r="AH122"/>
      <x:c r="AJ122"/>
      <x:c r="AL122" s="10"/>
      <x:c r="AM122"/>
      <x:c r="AN122"/>
    </x:row>
    <x:row r="123">
      <x:c r="Q123" s="10"/>
      <x:c r="R123"/>
      <x:c r="S123"/>
      <x:c r="T123"/>
      <x:c r="V123"/>
      <x:c r="X123" s="10"/>
      <x:c r="Y123"/>
      <x:c r="Z123"/>
      <x:c r="AA123"/>
      <x:c r="AC123"/>
      <x:c r="AE123" s="10"/>
      <x:c r="AF123"/>
      <x:c r="AG123"/>
      <x:c r="AH123"/>
      <x:c r="AJ123"/>
      <x:c r="AL123" s="10"/>
      <x:c r="AM123"/>
      <x:c r="AN123"/>
    </x:row>
    <x:row r="124">
      <x:c r="Q124" s="10"/>
      <x:c r="R124"/>
      <x:c r="S124"/>
      <x:c r="T124"/>
      <x:c r="V124"/>
      <x:c r="X124" s="10"/>
      <x:c r="Y124"/>
      <x:c r="Z124"/>
      <x:c r="AA124"/>
      <x:c r="AC124"/>
      <x:c r="AE124" s="10"/>
      <x:c r="AF124"/>
      <x:c r="AG124"/>
      <x:c r="AH124"/>
      <x:c r="AJ124"/>
      <x:c r="AL124" s="10"/>
      <x:c r="AM124"/>
      <x:c r="AN124"/>
    </x:row>
    <x:row r="125">
      <x:c r="Q125" s="10"/>
      <x:c r="R125"/>
      <x:c r="S125"/>
      <x:c r="T125"/>
      <x:c r="V125"/>
      <x:c r="X125" s="10"/>
      <x:c r="Y125"/>
      <x:c r="Z125"/>
      <x:c r="AA125"/>
      <x:c r="AC125"/>
      <x:c r="AE125" s="10"/>
      <x:c r="AF125"/>
      <x:c r="AG125"/>
      <x:c r="AH125"/>
      <x:c r="AJ125"/>
      <x:c r="AL125" s="10"/>
      <x:c r="AM125"/>
      <x:c r="AN125"/>
    </x:row>
    <x:row r="126">
      <x:c r="Q126" s="10"/>
      <x:c r="R126"/>
      <x:c r="S126"/>
      <x:c r="T126"/>
      <x:c r="V126"/>
      <x:c r="X126" s="10"/>
      <x:c r="Y126"/>
      <x:c r="Z126"/>
      <x:c r="AA126"/>
      <x:c r="AC126"/>
      <x:c r="AE126" s="10"/>
      <x:c r="AF126"/>
      <x:c r="AG126"/>
      <x:c r="AH126"/>
      <x:c r="AJ126"/>
      <x:c r="AL126" s="10"/>
      <x:c r="AM126"/>
      <x:c r="AN126"/>
    </x:row>
    <x:row r="127">
      <x:c r="Q127" s="10"/>
      <x:c r="R127"/>
      <x:c r="S127"/>
      <x:c r="T127"/>
      <x:c r="V127"/>
      <x:c r="X127" s="10"/>
      <x:c r="Y127"/>
      <x:c r="Z127"/>
      <x:c r="AA127"/>
      <x:c r="AC127"/>
      <x:c r="AE127" s="10"/>
      <x:c r="AF127"/>
      <x:c r="AG127"/>
      <x:c r="AH127"/>
      <x:c r="AJ127"/>
      <x:c r="AL127" s="10"/>
      <x:c r="AM127"/>
      <x:c r="AN127"/>
    </x:row>
    <x:row r="128">
      <x:c r="Q128" s="10"/>
      <x:c r="R128"/>
      <x:c r="S128"/>
      <x:c r="T128"/>
      <x:c r="V128"/>
      <x:c r="X128" s="10"/>
      <x:c r="Y128"/>
      <x:c r="Z128"/>
      <x:c r="AA128"/>
      <x:c r="AC128"/>
      <x:c r="AE128" s="10"/>
      <x:c r="AF128"/>
      <x:c r="AG128"/>
      <x:c r="AH128"/>
      <x:c r="AJ128"/>
      <x:c r="AL128" s="10"/>
      <x:c r="AM128"/>
      <x:c r="AN128"/>
    </x:row>
    <x:row r="129">
      <x:c r="Q129" s="10"/>
      <x:c r="R129"/>
      <x:c r="S129"/>
      <x:c r="T129"/>
      <x:c r="V129"/>
      <x:c r="X129" s="10"/>
      <x:c r="Y129"/>
      <x:c r="Z129"/>
      <x:c r="AA129"/>
      <x:c r="AC129"/>
      <x:c r="AE129" s="10"/>
      <x:c r="AF129"/>
      <x:c r="AG129"/>
      <x:c r="AH129"/>
      <x:c r="AJ129"/>
      <x:c r="AL129" s="10"/>
      <x:c r="AM129"/>
      <x:c r="AN129"/>
    </x:row>
    <x:row r="130">
      <x:c r="Q130" s="10"/>
      <x:c r="R130"/>
      <x:c r="S130"/>
      <x:c r="T130"/>
      <x:c r="V130"/>
      <x:c r="X130" s="10"/>
      <x:c r="Y130"/>
      <x:c r="Z130"/>
      <x:c r="AA130"/>
      <x:c r="AC130"/>
      <x:c r="AE130" s="10"/>
      <x:c r="AF130"/>
      <x:c r="AG130"/>
      <x:c r="AH130"/>
      <x:c r="AJ130"/>
      <x:c r="AL130" s="10"/>
      <x:c r="AM130"/>
      <x:c r="AN130"/>
    </x:row>
    <x:row r="131">
      <x:c r="Q131" s="10"/>
      <x:c r="R131"/>
      <x:c r="S131"/>
      <x:c r="T131"/>
      <x:c r="V131"/>
      <x:c r="X131" s="10"/>
      <x:c r="Y131"/>
      <x:c r="Z131"/>
      <x:c r="AA131"/>
      <x:c r="AC131"/>
      <x:c r="AE131" s="10"/>
      <x:c r="AF131"/>
      <x:c r="AG131"/>
      <x:c r="AH131"/>
      <x:c r="AJ131"/>
      <x:c r="AL131" s="10"/>
      <x:c r="AM131"/>
      <x:c r="AN131"/>
    </x:row>
    <x:row r="132">
      <x:c r="Q132" s="10"/>
      <x:c r="R132"/>
      <x:c r="S132"/>
      <x:c r="T132"/>
      <x:c r="V132"/>
      <x:c r="X132" s="10"/>
      <x:c r="Y132"/>
      <x:c r="Z132"/>
      <x:c r="AA132"/>
      <x:c r="AC132"/>
      <x:c r="AE132" s="10"/>
      <x:c r="AF132"/>
      <x:c r="AG132"/>
      <x:c r="AH132"/>
      <x:c r="AJ132"/>
      <x:c r="AL132" s="10"/>
      <x:c r="AM132"/>
      <x:c r="AN132"/>
    </x:row>
    <x:row r="133">
      <x:c r="Q133" s="10"/>
      <x:c r="R133"/>
      <x:c r="S133"/>
      <x:c r="T133"/>
      <x:c r="V133"/>
      <x:c r="X133" s="10"/>
      <x:c r="Y133"/>
      <x:c r="Z133"/>
      <x:c r="AA133"/>
      <x:c r="AC133"/>
      <x:c r="AE133" s="10"/>
      <x:c r="AF133"/>
      <x:c r="AG133"/>
      <x:c r="AH133"/>
      <x:c r="AJ133"/>
      <x:c r="AL133" s="10"/>
      <x:c r="AM133"/>
      <x:c r="AN133"/>
    </x:row>
    <x:row r="134">
      <x:c r="Q134" s="10"/>
      <x:c r="R134"/>
      <x:c r="S134"/>
      <x:c r="T134"/>
      <x:c r="V134"/>
      <x:c r="X134" s="10"/>
      <x:c r="Y134"/>
      <x:c r="Z134"/>
      <x:c r="AA134"/>
      <x:c r="AC134"/>
      <x:c r="AE134" s="10"/>
      <x:c r="AF134"/>
      <x:c r="AG134"/>
      <x:c r="AH134"/>
      <x:c r="AJ134"/>
      <x:c r="AL134" s="10"/>
      <x:c r="AM134"/>
      <x:c r="AN134"/>
    </x:row>
    <x:row r="135">
      <x:c r="Q135" s="10"/>
      <x:c r="R135"/>
      <x:c r="S135"/>
      <x:c r="T135"/>
      <x:c r="V135"/>
      <x:c r="X135" s="10"/>
      <x:c r="Y135"/>
      <x:c r="Z135"/>
      <x:c r="AA135"/>
      <x:c r="AC135"/>
      <x:c r="AE135" s="10"/>
      <x:c r="AF135"/>
      <x:c r="AG135"/>
      <x:c r="AH135"/>
      <x:c r="AJ135"/>
      <x:c r="AL135" s="10"/>
      <x:c r="AM135"/>
      <x:c r="AN135"/>
    </x:row>
    <x:row r="136">
      <x:c r="Q136" s="10"/>
      <x:c r="R136"/>
      <x:c r="S136"/>
      <x:c r="T136"/>
      <x:c r="V136"/>
      <x:c r="X136" s="10"/>
      <x:c r="Y136"/>
      <x:c r="Z136"/>
      <x:c r="AA136"/>
      <x:c r="AC136"/>
      <x:c r="AE136" s="10"/>
      <x:c r="AF136"/>
      <x:c r="AG136"/>
      <x:c r="AH136"/>
      <x:c r="AJ136"/>
      <x:c r="AL136" s="10"/>
      <x:c r="AM136"/>
      <x:c r="AN136"/>
    </x:row>
    <x:row r="137">
      <x:c r="Q137" s="10"/>
      <x:c r="R137"/>
      <x:c r="S137"/>
      <x:c r="T137"/>
      <x:c r="V137"/>
      <x:c r="X137" s="10"/>
      <x:c r="Y137"/>
      <x:c r="Z137"/>
      <x:c r="AA137"/>
      <x:c r="AC137"/>
      <x:c r="AE137" s="10"/>
      <x:c r="AF137"/>
      <x:c r="AG137"/>
      <x:c r="AH137"/>
      <x:c r="AJ137"/>
      <x:c r="AL137" s="10"/>
      <x:c r="AM137"/>
      <x:c r="AN137"/>
    </x:row>
    <x:row r="138">
      <x:c r="Q138" s="10"/>
      <x:c r="R138"/>
      <x:c r="S138"/>
      <x:c r="T138"/>
      <x:c r="V138"/>
      <x:c r="X138" s="10"/>
      <x:c r="Y138"/>
      <x:c r="Z138"/>
      <x:c r="AA138"/>
      <x:c r="AC138"/>
      <x:c r="AE138" s="10"/>
      <x:c r="AF138"/>
      <x:c r="AG138"/>
      <x:c r="AH138"/>
      <x:c r="AJ138"/>
      <x:c r="AL138" s="10"/>
      <x:c r="AM138"/>
      <x:c r="AN138"/>
    </x:row>
    <x:row r="139">
      <x:c r="Q139" s="10"/>
      <x:c r="R139"/>
      <x:c r="S139"/>
      <x:c r="T139"/>
      <x:c r="V139"/>
      <x:c r="X139" s="10"/>
      <x:c r="Y139"/>
      <x:c r="Z139"/>
      <x:c r="AA139"/>
      <x:c r="AC139"/>
      <x:c r="AE139" s="10"/>
      <x:c r="AF139"/>
      <x:c r="AG139"/>
      <x:c r="AH139"/>
      <x:c r="AJ139"/>
      <x:c r="AL139" s="10"/>
      <x:c r="AM139"/>
      <x:c r="AN139"/>
    </x:row>
    <x:row r="140">
      <x:c r="Q140" s="10"/>
      <x:c r="R140"/>
      <x:c r="S140"/>
      <x:c r="T140"/>
      <x:c r="V140"/>
      <x:c r="X140" s="10"/>
      <x:c r="Y140"/>
      <x:c r="Z140"/>
      <x:c r="AA140"/>
      <x:c r="AC140"/>
      <x:c r="AE140" s="10"/>
      <x:c r="AF140"/>
      <x:c r="AG140"/>
      <x:c r="AH140"/>
      <x:c r="AJ140"/>
      <x:c r="AL140" s="10"/>
      <x:c r="AM140"/>
      <x:c r="AN140"/>
    </x:row>
    <x:row r="141">
      <x:c r="Q141" s="10"/>
      <x:c r="R141"/>
      <x:c r="S141"/>
      <x:c r="T141"/>
      <x:c r="V141"/>
      <x:c r="X141" s="10"/>
      <x:c r="Y141"/>
      <x:c r="Z141"/>
      <x:c r="AA141"/>
      <x:c r="AC141"/>
      <x:c r="AE141" s="10"/>
      <x:c r="AF141"/>
      <x:c r="AG141"/>
      <x:c r="AH141"/>
      <x:c r="AJ141"/>
      <x:c r="AL141" s="10"/>
      <x:c r="AM141"/>
      <x:c r="AN141"/>
    </x:row>
    <x:row r="142">
      <x:c r="Q142" s="10"/>
      <x:c r="R142"/>
      <x:c r="S142"/>
      <x:c r="T142"/>
      <x:c r="V142"/>
      <x:c r="X142" s="10"/>
      <x:c r="Y142"/>
      <x:c r="Z142"/>
      <x:c r="AA142"/>
      <x:c r="AC142"/>
      <x:c r="AE142" s="10"/>
      <x:c r="AF142"/>
      <x:c r="AG142"/>
      <x:c r="AH142"/>
      <x:c r="AJ142"/>
      <x:c r="AL142" s="10"/>
      <x:c r="AM142"/>
      <x:c r="AN142"/>
    </x:row>
    <x:row r="143">
      <x:c r="Q143" s="10"/>
      <x:c r="R143"/>
      <x:c r="S143"/>
      <x:c r="T143"/>
      <x:c r="V143"/>
      <x:c r="X143" s="10"/>
      <x:c r="Y143"/>
      <x:c r="Z143"/>
      <x:c r="AA143"/>
      <x:c r="AC143"/>
      <x:c r="AE143" s="10"/>
      <x:c r="AF143"/>
      <x:c r="AG143"/>
      <x:c r="AH143"/>
      <x:c r="AJ143"/>
      <x:c r="AL143" s="10"/>
      <x:c r="AM143"/>
      <x:c r="AN143"/>
    </x:row>
    <x:row r="144">
      <x:c r="Q144" s="10"/>
      <x:c r="R144"/>
      <x:c r="S144"/>
      <x:c r="T144"/>
      <x:c r="V144"/>
      <x:c r="X144" s="10"/>
      <x:c r="Y144"/>
      <x:c r="Z144"/>
      <x:c r="AA144"/>
      <x:c r="AC144"/>
      <x:c r="AE144" s="10"/>
      <x:c r="AF144"/>
      <x:c r="AG144"/>
      <x:c r="AH144"/>
      <x:c r="AJ144"/>
      <x:c r="AL144" s="10"/>
      <x:c r="AM144"/>
      <x:c r="AN144"/>
    </x:row>
    <x:row r="145">
      <x:c r="Q145" s="10"/>
      <x:c r="R145"/>
      <x:c r="S145"/>
      <x:c r="T145"/>
      <x:c r="V145"/>
      <x:c r="X145" s="10"/>
      <x:c r="Y145"/>
      <x:c r="Z145"/>
      <x:c r="AA145"/>
      <x:c r="AC145"/>
      <x:c r="AE145" s="10"/>
      <x:c r="AF145"/>
      <x:c r="AG145"/>
      <x:c r="AH145"/>
      <x:c r="AJ145"/>
      <x:c r="AL145" s="10"/>
      <x:c r="AM145"/>
      <x:c r="AN145"/>
    </x:row>
    <x:row r="146">
      <x:c r="Q146" s="10"/>
      <x:c r="R146"/>
      <x:c r="S146"/>
      <x:c r="T146"/>
      <x:c r="V146"/>
      <x:c r="X146" s="10"/>
      <x:c r="Y146"/>
      <x:c r="Z146"/>
      <x:c r="AA146"/>
      <x:c r="AC146"/>
      <x:c r="AE146" s="10"/>
      <x:c r="AF146"/>
      <x:c r="AG146"/>
      <x:c r="AH146"/>
      <x:c r="AJ146"/>
      <x:c r="AL146" s="10"/>
      <x:c r="AM146"/>
      <x:c r="AN146"/>
    </x:row>
    <x:row r="147">
      <x:c r="Q147" s="10"/>
      <x:c r="R147"/>
      <x:c r="S147"/>
      <x:c r="T147"/>
      <x:c r="V147"/>
      <x:c r="X147" s="10"/>
      <x:c r="Y147"/>
      <x:c r="Z147"/>
      <x:c r="AA147"/>
      <x:c r="AC147"/>
      <x:c r="AE147" s="10"/>
      <x:c r="AF147"/>
      <x:c r="AG147"/>
      <x:c r="AH147"/>
      <x:c r="AJ147"/>
      <x:c r="AL147" s="10"/>
      <x:c r="AM147"/>
      <x:c r="AN147"/>
    </x:row>
    <x:row r="148">
      <x:c r="Q148" s="10"/>
      <x:c r="R148"/>
      <x:c r="S148"/>
      <x:c r="T148"/>
      <x:c r="V148"/>
      <x:c r="X148" s="10"/>
      <x:c r="Y148"/>
      <x:c r="Z148"/>
      <x:c r="AA148"/>
      <x:c r="AC148"/>
      <x:c r="AE148" s="10"/>
      <x:c r="AF148"/>
      <x:c r="AG148"/>
      <x:c r="AH148"/>
      <x:c r="AJ148"/>
      <x:c r="AL148" s="10"/>
      <x:c r="AM148"/>
      <x:c r="AN148"/>
    </x:row>
    <x:row r="149">
      <x:c r="Q149" s="10"/>
      <x:c r="R149"/>
      <x:c r="S149"/>
      <x:c r="T149"/>
      <x:c r="V149"/>
      <x:c r="X149" s="10"/>
      <x:c r="Y149"/>
      <x:c r="Z149"/>
      <x:c r="AA149"/>
      <x:c r="AC149"/>
      <x:c r="AE149" s="10"/>
      <x:c r="AF149"/>
      <x:c r="AG149"/>
      <x:c r="AH149"/>
      <x:c r="AJ149"/>
      <x:c r="AL149" s="10"/>
      <x:c r="AM149"/>
      <x:c r="AN149"/>
    </x:row>
    <x:row r="150">
      <x:c r="Q150" s="10"/>
      <x:c r="R150"/>
      <x:c r="S150"/>
      <x:c r="T150"/>
      <x:c r="V150"/>
      <x:c r="X150" s="10"/>
      <x:c r="Y150"/>
      <x:c r="Z150"/>
      <x:c r="AA150"/>
      <x:c r="AC150"/>
      <x:c r="AE150" s="10"/>
      <x:c r="AF150"/>
      <x:c r="AG150"/>
      <x:c r="AH150"/>
      <x:c r="AJ150"/>
      <x:c r="AL150" s="10"/>
      <x:c r="AM150"/>
      <x:c r="AN150"/>
    </x:row>
    <x:row r="151">
      <x:c r="Q151" s="10"/>
      <x:c r="R151"/>
      <x:c r="S151"/>
      <x:c r="T151"/>
      <x:c r="V151"/>
      <x:c r="X151" s="10"/>
      <x:c r="Y151"/>
      <x:c r="Z151"/>
      <x:c r="AA151"/>
      <x:c r="AC151"/>
      <x:c r="AE151" s="10"/>
      <x:c r="AF151"/>
      <x:c r="AG151"/>
      <x:c r="AH151"/>
      <x:c r="AJ151"/>
      <x:c r="AL151" s="10"/>
      <x:c r="AM151"/>
      <x:c r="AN151"/>
    </x:row>
    <x:row r="152">
      <x:c r="Q152" s="10"/>
      <x:c r="R152"/>
      <x:c r="S152"/>
      <x:c r="T152"/>
      <x:c r="V152"/>
      <x:c r="X152" s="10"/>
      <x:c r="Y152"/>
      <x:c r="Z152"/>
      <x:c r="AA152"/>
      <x:c r="AC152"/>
      <x:c r="AE152" s="10"/>
      <x:c r="AF152"/>
      <x:c r="AG152"/>
      <x:c r="AH152"/>
      <x:c r="AJ152"/>
      <x:c r="AL152" s="10"/>
      <x:c r="AM152"/>
      <x:c r="AN152"/>
    </x:row>
    <x:row r="153">
      <x:c r="Q153" s="10"/>
      <x:c r="R153"/>
      <x:c r="S153"/>
      <x:c r="T153"/>
      <x:c r="V153"/>
      <x:c r="X153" s="10"/>
      <x:c r="Y153"/>
      <x:c r="Z153"/>
      <x:c r="AA153"/>
      <x:c r="AC153"/>
      <x:c r="AE153" s="10"/>
      <x:c r="AF153"/>
      <x:c r="AG153"/>
      <x:c r="AH153"/>
      <x:c r="AJ153"/>
      <x:c r="AL153" s="10"/>
      <x:c r="AM153"/>
      <x:c r="AN153"/>
    </x:row>
    <x:row r="154">
      <x:c r="Q154" s="10"/>
      <x:c r="R154"/>
      <x:c r="S154"/>
      <x:c r="T154"/>
      <x:c r="V154"/>
      <x:c r="X154" s="10"/>
      <x:c r="Y154"/>
      <x:c r="Z154"/>
      <x:c r="AA154"/>
      <x:c r="AC154"/>
      <x:c r="AE154" s="10"/>
      <x:c r="AF154"/>
      <x:c r="AG154"/>
      <x:c r="AH154"/>
      <x:c r="AJ154"/>
      <x:c r="AL154" s="10"/>
      <x:c r="AM154"/>
      <x:c r="AN154"/>
    </x:row>
    <x:row r="155">
      <x:c r="Q155" s="10"/>
      <x:c r="R155"/>
      <x:c r="S155"/>
      <x:c r="T155"/>
      <x:c r="V155"/>
      <x:c r="X155" s="10"/>
      <x:c r="Y155"/>
      <x:c r="Z155"/>
      <x:c r="AA155"/>
      <x:c r="AC155"/>
      <x:c r="AE155" s="10"/>
      <x:c r="AF155"/>
      <x:c r="AG155"/>
      <x:c r="AH155"/>
      <x:c r="AJ155"/>
      <x:c r="AL155" s="10"/>
      <x:c r="AM155"/>
      <x:c r="AN155"/>
    </x:row>
    <x:row r="156">
      <x:c r="Q156" s="10"/>
      <x:c r="R156"/>
      <x:c r="S156"/>
      <x:c r="T156"/>
      <x:c r="V156"/>
      <x:c r="X156" s="10"/>
      <x:c r="Y156"/>
      <x:c r="Z156"/>
      <x:c r="AA156"/>
      <x:c r="AC156"/>
      <x:c r="AE156" s="10"/>
      <x:c r="AF156"/>
      <x:c r="AG156"/>
      <x:c r="AH156"/>
      <x:c r="AJ156"/>
      <x:c r="AL156" s="10"/>
      <x:c r="AM156"/>
      <x:c r="AN156"/>
    </x:row>
    <x:row r="157">
      <x:c r="Q157" s="10"/>
      <x:c r="R157"/>
      <x:c r="S157"/>
      <x:c r="T157"/>
      <x:c r="V157"/>
      <x:c r="X157" s="10"/>
      <x:c r="Y157"/>
      <x:c r="Z157"/>
      <x:c r="AA157"/>
      <x:c r="AC157"/>
      <x:c r="AE157" s="10"/>
      <x:c r="AF157"/>
      <x:c r="AG157"/>
      <x:c r="AH157"/>
      <x:c r="AJ157"/>
      <x:c r="AL157" s="10"/>
      <x:c r="AM157"/>
      <x:c r="AN157"/>
    </x:row>
    <x:row r="158">
      <x:c r="Q158" s="10"/>
      <x:c r="R158"/>
      <x:c r="S158"/>
      <x:c r="T158"/>
      <x:c r="V158"/>
      <x:c r="X158" s="10"/>
      <x:c r="Y158"/>
      <x:c r="Z158"/>
      <x:c r="AA158"/>
      <x:c r="AC158"/>
      <x:c r="AE158" s="10"/>
      <x:c r="AF158"/>
      <x:c r="AG158"/>
      <x:c r="AH158"/>
      <x:c r="AJ158"/>
      <x:c r="AL158" s="10"/>
      <x:c r="AM158"/>
      <x:c r="AN158"/>
    </x:row>
    <x:row r="159">
      <x:c r="Q159" s="10"/>
      <x:c r="R159"/>
      <x:c r="S159"/>
      <x:c r="T159"/>
      <x:c r="V159"/>
      <x:c r="X159" s="10"/>
      <x:c r="Y159"/>
      <x:c r="Z159"/>
      <x:c r="AA159"/>
      <x:c r="AC159"/>
      <x:c r="AE159" s="10"/>
      <x:c r="AF159"/>
      <x:c r="AG159"/>
      <x:c r="AH159"/>
      <x:c r="AJ159"/>
      <x:c r="AL159" s="10"/>
      <x:c r="AM159"/>
      <x:c r="AN159"/>
    </x:row>
    <x:row r="160">
      <x:c r="Q160" s="10"/>
      <x:c r="R160"/>
      <x:c r="S160"/>
      <x:c r="T160"/>
      <x:c r="V160"/>
      <x:c r="X160" s="10"/>
      <x:c r="Y160"/>
      <x:c r="Z160"/>
      <x:c r="AA160"/>
      <x:c r="AC160"/>
      <x:c r="AE160" s="10"/>
      <x:c r="AF160"/>
      <x:c r="AG160"/>
      <x:c r="AH160"/>
      <x:c r="AJ160"/>
      <x:c r="AL160" s="10"/>
      <x:c r="AM160"/>
      <x:c r="AN160"/>
    </x:row>
    <x:row r="161">
      <x:c r="Q161" s="10"/>
      <x:c r="R161"/>
      <x:c r="S161"/>
      <x:c r="T161"/>
      <x:c r="V161"/>
      <x:c r="X161" s="10"/>
      <x:c r="Y161"/>
      <x:c r="Z161"/>
      <x:c r="AA161"/>
      <x:c r="AC161"/>
      <x:c r="AE161" s="10"/>
      <x:c r="AF161"/>
      <x:c r="AG161"/>
      <x:c r="AH161"/>
      <x:c r="AJ161"/>
      <x:c r="AL161" s="10"/>
      <x:c r="AM161"/>
      <x:c r="AN161"/>
    </x:row>
    <x:row r="162">
      <x:c r="Q162" s="10"/>
      <x:c r="R162"/>
      <x:c r="S162"/>
      <x:c r="T162"/>
      <x:c r="V162"/>
      <x:c r="X162" s="10"/>
      <x:c r="Y162"/>
      <x:c r="Z162"/>
      <x:c r="AA162"/>
      <x:c r="AC162"/>
      <x:c r="AE162" s="10"/>
      <x:c r="AF162"/>
      <x:c r="AG162"/>
      <x:c r="AH162"/>
      <x:c r="AJ162"/>
      <x:c r="AL162" s="10"/>
      <x:c r="AM162"/>
      <x:c r="AN162"/>
    </x:row>
    <x:row r="163">
      <x:c r="Q163" s="10"/>
      <x:c r="R163"/>
      <x:c r="S163"/>
      <x:c r="T163"/>
      <x:c r="V163"/>
      <x:c r="X163" s="10"/>
      <x:c r="Y163"/>
      <x:c r="Z163"/>
      <x:c r="AA163"/>
      <x:c r="AC163"/>
      <x:c r="AE163" s="10"/>
      <x:c r="AF163"/>
      <x:c r="AG163"/>
      <x:c r="AH163"/>
      <x:c r="AJ163"/>
      <x:c r="AL163" s="10"/>
      <x:c r="AM163"/>
      <x:c r="AN163"/>
    </x:row>
    <x:row r="164">
      <x:c r="Q164" s="10"/>
      <x:c r="R164"/>
      <x:c r="S164"/>
      <x:c r="T164"/>
      <x:c r="V164"/>
      <x:c r="X164" s="10"/>
      <x:c r="Y164"/>
      <x:c r="Z164"/>
      <x:c r="AA164"/>
      <x:c r="AC164"/>
      <x:c r="AE164" s="10"/>
      <x:c r="AF164"/>
      <x:c r="AG164"/>
      <x:c r="AH164"/>
      <x:c r="AJ164"/>
      <x:c r="AL164" s="10"/>
      <x:c r="AM164"/>
      <x:c r="AN164"/>
    </x:row>
    <x:row r="165">
      <x:c r="Q165" s="10"/>
      <x:c r="R165"/>
      <x:c r="S165"/>
      <x:c r="T165"/>
      <x:c r="V165"/>
      <x:c r="X165" s="10"/>
      <x:c r="Y165"/>
      <x:c r="Z165"/>
      <x:c r="AA165"/>
      <x:c r="AC165"/>
      <x:c r="AE165" s="10"/>
      <x:c r="AF165"/>
      <x:c r="AG165"/>
      <x:c r="AH165"/>
      <x:c r="AJ165"/>
      <x:c r="AL165" s="10"/>
      <x:c r="AM165"/>
      <x:c r="AN165"/>
    </x:row>
    <x:row r="166">
      <x:c r="Q166" s="10"/>
      <x:c r="R166"/>
      <x:c r="S166"/>
      <x:c r="T166"/>
      <x:c r="V166"/>
      <x:c r="X166" s="10"/>
      <x:c r="Y166"/>
      <x:c r="Z166"/>
      <x:c r="AA166"/>
      <x:c r="AC166"/>
      <x:c r="AE166" s="10"/>
      <x:c r="AF166"/>
      <x:c r="AG166"/>
      <x:c r="AH166"/>
      <x:c r="AJ166"/>
      <x:c r="AL166" s="10"/>
      <x:c r="AM166"/>
      <x:c r="AN166"/>
    </x:row>
    <x:row r="167">
      <x:c r="Q167" s="10"/>
      <x:c r="R167"/>
      <x:c r="S167"/>
      <x:c r="T167"/>
      <x:c r="V167"/>
      <x:c r="X167" s="10"/>
      <x:c r="Y167"/>
      <x:c r="Z167"/>
      <x:c r="AA167"/>
      <x:c r="AC167"/>
      <x:c r="AE167" s="10"/>
      <x:c r="AF167"/>
      <x:c r="AG167"/>
      <x:c r="AH167"/>
      <x:c r="AJ167"/>
      <x:c r="AL167" s="10"/>
      <x:c r="AM167"/>
      <x:c r="AN167"/>
    </x:row>
    <x:row r="168">
      <x:c r="Q168" s="10"/>
      <x:c r="R168"/>
      <x:c r="S168"/>
      <x:c r="T168"/>
      <x:c r="V168"/>
      <x:c r="X168" s="10"/>
      <x:c r="Y168"/>
      <x:c r="Z168"/>
      <x:c r="AA168"/>
      <x:c r="AC168"/>
      <x:c r="AE168" s="10"/>
      <x:c r="AF168"/>
      <x:c r="AG168"/>
      <x:c r="AH168"/>
      <x:c r="AJ168"/>
      <x:c r="AL168" s="10"/>
      <x:c r="AM168"/>
      <x:c r="AN168"/>
    </x:row>
    <x:row r="169">
      <x:c r="Q169" s="10"/>
      <x:c r="R169"/>
      <x:c r="S169"/>
      <x:c r="T169"/>
      <x:c r="V169"/>
      <x:c r="X169" s="10"/>
      <x:c r="Y169"/>
      <x:c r="Z169"/>
      <x:c r="AA169"/>
      <x:c r="AC169"/>
      <x:c r="AE169" s="10"/>
      <x:c r="AF169"/>
      <x:c r="AG169"/>
      <x:c r="AH169"/>
      <x:c r="AJ169"/>
      <x:c r="AL169" s="10"/>
      <x:c r="AM169"/>
      <x:c r="AN169"/>
    </x:row>
    <x:row r="170">
      <x:c r="Q170" s="10"/>
      <x:c r="R170"/>
      <x:c r="S170"/>
      <x:c r="T170"/>
      <x:c r="V170"/>
      <x:c r="X170" s="10"/>
      <x:c r="Y170"/>
      <x:c r="Z170"/>
      <x:c r="AA170"/>
      <x:c r="AC170"/>
      <x:c r="AE170" s="10"/>
      <x:c r="AF170"/>
      <x:c r="AG170"/>
      <x:c r="AH170"/>
      <x:c r="AJ170"/>
      <x:c r="AL170" s="10"/>
      <x:c r="AM170"/>
      <x:c r="AN170"/>
    </x:row>
    <x:row r="171">
      <x:c r="Q171" s="10"/>
      <x:c r="R171"/>
      <x:c r="S171"/>
      <x:c r="T171"/>
      <x:c r="V171"/>
      <x:c r="X171" s="10"/>
      <x:c r="Y171"/>
      <x:c r="Z171"/>
      <x:c r="AA171"/>
      <x:c r="AC171"/>
      <x:c r="AE171" s="10"/>
      <x:c r="AF171"/>
      <x:c r="AG171"/>
      <x:c r="AH171"/>
      <x:c r="AJ171"/>
      <x:c r="AL171" s="10"/>
      <x:c r="AM171"/>
      <x:c r="AN171"/>
    </x:row>
    <x:row r="172">
      <x:c r="Q172" s="10"/>
      <x:c r="R172"/>
      <x:c r="S172"/>
      <x:c r="T172"/>
      <x:c r="V172"/>
      <x:c r="X172" s="10"/>
      <x:c r="Y172"/>
      <x:c r="Z172"/>
      <x:c r="AA172"/>
      <x:c r="AC172"/>
      <x:c r="AE172" s="10"/>
      <x:c r="AF172"/>
      <x:c r="AG172"/>
      <x:c r="AH172"/>
      <x:c r="AJ172"/>
      <x:c r="AL172" s="10"/>
      <x:c r="AM172"/>
      <x:c r="AN172"/>
    </x:row>
    <x:row r="173">
      <x:c r="Q173" s="10"/>
      <x:c r="R173"/>
      <x:c r="S173"/>
      <x:c r="T173"/>
      <x:c r="V173"/>
      <x:c r="X173" s="10"/>
      <x:c r="Y173"/>
      <x:c r="Z173"/>
      <x:c r="AA173"/>
      <x:c r="AC173"/>
      <x:c r="AE173" s="10"/>
      <x:c r="AF173"/>
      <x:c r="AG173"/>
      <x:c r="AH173"/>
      <x:c r="AJ173"/>
      <x:c r="AL173" s="10"/>
      <x:c r="AM173"/>
      <x:c r="AN173"/>
    </x:row>
    <x:row r="174">
      <x:c r="Q174" s="10"/>
      <x:c r="R174"/>
      <x:c r="S174"/>
      <x:c r="T174"/>
      <x:c r="V174"/>
      <x:c r="X174" s="10"/>
      <x:c r="Y174"/>
      <x:c r="Z174"/>
      <x:c r="AA174"/>
      <x:c r="AC174"/>
      <x:c r="AE174" s="10"/>
      <x:c r="AF174"/>
      <x:c r="AG174"/>
      <x:c r="AH174"/>
      <x:c r="AJ174"/>
      <x:c r="AL174" s="10"/>
      <x:c r="AM174"/>
      <x:c r="AN174"/>
    </x:row>
    <x:row r="175">
      <x:c r="Q175" s="10"/>
      <x:c r="R175"/>
      <x:c r="S175"/>
      <x:c r="T175"/>
      <x:c r="V175"/>
      <x:c r="X175" s="10"/>
      <x:c r="Y175"/>
      <x:c r="Z175"/>
      <x:c r="AA175"/>
      <x:c r="AC175"/>
      <x:c r="AE175" s="10"/>
      <x:c r="AF175"/>
      <x:c r="AG175"/>
      <x:c r="AH175"/>
      <x:c r="AJ175"/>
      <x:c r="AL175" s="10"/>
      <x:c r="AM175"/>
      <x:c r="AN175"/>
    </x:row>
    <x:row r="176">
      <x:c r="Q176" s="10"/>
      <x:c r="R176"/>
      <x:c r="S176"/>
      <x:c r="T176"/>
      <x:c r="V176"/>
      <x:c r="X176" s="10"/>
      <x:c r="Y176"/>
      <x:c r="Z176"/>
      <x:c r="AA176"/>
      <x:c r="AC176"/>
      <x:c r="AE176" s="10"/>
      <x:c r="AF176"/>
      <x:c r="AG176"/>
      <x:c r="AH176"/>
      <x:c r="AJ176"/>
      <x:c r="AL176" s="10"/>
      <x:c r="AM176"/>
      <x:c r="AN176"/>
    </x:row>
    <x:row r="177">
      <x:c r="Q177" s="10"/>
      <x:c r="R177"/>
      <x:c r="S177"/>
      <x:c r="T177"/>
      <x:c r="V177"/>
      <x:c r="X177" s="10"/>
      <x:c r="Y177"/>
      <x:c r="Z177"/>
      <x:c r="AA177"/>
      <x:c r="AC177"/>
      <x:c r="AE177" s="10"/>
      <x:c r="AF177"/>
      <x:c r="AG177"/>
      <x:c r="AH177"/>
      <x:c r="AJ177"/>
      <x:c r="AL177" s="10"/>
      <x:c r="AM177"/>
      <x:c r="AN177"/>
    </x:row>
    <x:row r="178">
      <x:c r="Q178" s="10"/>
      <x:c r="R178"/>
      <x:c r="S178"/>
      <x:c r="T178"/>
      <x:c r="V178"/>
      <x:c r="X178" s="10"/>
      <x:c r="Y178"/>
      <x:c r="Z178"/>
      <x:c r="AA178"/>
      <x:c r="AC178"/>
      <x:c r="AE178" s="10"/>
      <x:c r="AF178"/>
      <x:c r="AG178"/>
      <x:c r="AH178"/>
      <x:c r="AJ178"/>
      <x:c r="AL178" s="10"/>
      <x:c r="AM178"/>
      <x:c r="AN178"/>
    </x:row>
    <x:row r="179">
      <x:c r="Q179" s="10"/>
      <x:c r="R179"/>
      <x:c r="S179"/>
      <x:c r="T179"/>
      <x:c r="V179"/>
      <x:c r="X179" s="10"/>
      <x:c r="Y179"/>
      <x:c r="Z179"/>
      <x:c r="AA179"/>
      <x:c r="AC179"/>
      <x:c r="AE179" s="10"/>
      <x:c r="AF179"/>
      <x:c r="AG179"/>
      <x:c r="AH179"/>
      <x:c r="AJ179"/>
      <x:c r="AL179" s="10"/>
      <x:c r="AM179"/>
      <x:c r="AN179"/>
    </x:row>
    <x:row r="180">
      <x:c r="Q180" s="10"/>
      <x:c r="R180"/>
      <x:c r="S180"/>
      <x:c r="T180"/>
      <x:c r="V180"/>
      <x:c r="X180" s="10"/>
      <x:c r="Y180"/>
      <x:c r="Z180"/>
      <x:c r="AA180"/>
      <x:c r="AC180"/>
      <x:c r="AE180" s="10"/>
      <x:c r="AF180"/>
      <x:c r="AG180"/>
      <x:c r="AH180"/>
      <x:c r="AJ180"/>
      <x:c r="AL180" s="10"/>
      <x:c r="AM180"/>
      <x:c r="AN180"/>
    </x:row>
    <x:row r="181">
      <x:c r="Q181" s="10"/>
      <x:c r="R181"/>
      <x:c r="S181"/>
      <x:c r="T181"/>
      <x:c r="V181"/>
      <x:c r="X181" s="10"/>
      <x:c r="Y181"/>
      <x:c r="Z181"/>
      <x:c r="AA181"/>
      <x:c r="AC181"/>
      <x:c r="AE181" s="10"/>
      <x:c r="AF181"/>
      <x:c r="AG181"/>
      <x:c r="AH181"/>
      <x:c r="AJ181"/>
      <x:c r="AL181" s="10"/>
      <x:c r="AM181"/>
      <x:c r="AN181"/>
    </x:row>
    <x:row r="182">
      <x:c r="Q182" s="10"/>
      <x:c r="R182"/>
      <x:c r="S182"/>
      <x:c r="T182"/>
      <x:c r="V182"/>
      <x:c r="X182" s="10"/>
      <x:c r="Y182"/>
      <x:c r="Z182"/>
      <x:c r="AA182"/>
      <x:c r="AC182"/>
      <x:c r="AE182" s="10"/>
      <x:c r="AF182"/>
      <x:c r="AG182"/>
      <x:c r="AH182"/>
      <x:c r="AJ182"/>
      <x:c r="AL182" s="10"/>
      <x:c r="AM182"/>
      <x:c r="AN182"/>
    </x:row>
    <x:row r="183">
      <x:c r="Q183" s="10"/>
      <x:c r="R183"/>
      <x:c r="S183"/>
      <x:c r="T183"/>
      <x:c r="V183"/>
      <x:c r="X183" s="10"/>
      <x:c r="Y183"/>
      <x:c r="Z183"/>
      <x:c r="AA183"/>
      <x:c r="AC183"/>
      <x:c r="AE183" s="10"/>
      <x:c r="AF183"/>
      <x:c r="AG183"/>
      <x:c r="AH183"/>
      <x:c r="AJ183"/>
      <x:c r="AL183" s="10"/>
      <x:c r="AM183"/>
      <x:c r="AN183"/>
    </x:row>
    <x:row r="184">
      <x:c r="Q184" s="10"/>
      <x:c r="R184"/>
      <x:c r="S184"/>
      <x:c r="T184"/>
      <x:c r="V184"/>
      <x:c r="X184" s="10"/>
      <x:c r="Y184"/>
      <x:c r="Z184"/>
      <x:c r="AA184"/>
      <x:c r="AC184"/>
      <x:c r="AE184" s="10"/>
      <x:c r="AF184"/>
      <x:c r="AG184"/>
      <x:c r="AH184"/>
      <x:c r="AJ184"/>
      <x:c r="AL184" s="10"/>
      <x:c r="AM184"/>
      <x:c r="AN184"/>
    </x:row>
    <x:row r="185">
      <x:c r="Q185" s="10"/>
      <x:c r="R185"/>
      <x:c r="S185"/>
      <x:c r="T185"/>
      <x:c r="V185"/>
      <x:c r="X185" s="10"/>
      <x:c r="Y185"/>
      <x:c r="Z185"/>
      <x:c r="AA185"/>
      <x:c r="AC185"/>
      <x:c r="AE185" s="10"/>
      <x:c r="AF185"/>
      <x:c r="AG185"/>
      <x:c r="AH185"/>
      <x:c r="AJ185"/>
      <x:c r="AL185" s="10"/>
      <x:c r="AM185"/>
      <x:c r="AN185"/>
    </x:row>
    <x:row r="186">
      <x:c r="Q186" s="10"/>
      <x:c r="R186"/>
      <x:c r="S186"/>
      <x:c r="T186"/>
      <x:c r="V186"/>
      <x:c r="X186" s="10"/>
      <x:c r="Y186"/>
      <x:c r="Z186"/>
      <x:c r="AA186"/>
      <x:c r="AC186"/>
      <x:c r="AE186" s="10"/>
      <x:c r="AF186"/>
      <x:c r="AG186"/>
      <x:c r="AH186"/>
      <x:c r="AJ186"/>
      <x:c r="AL186" s="10"/>
      <x:c r="AM186"/>
      <x:c r="AN186"/>
    </x:row>
    <x:row r="187">
      <x:c r="Q187" s="10"/>
      <x:c r="R187"/>
      <x:c r="S187"/>
      <x:c r="T187"/>
      <x:c r="V187"/>
      <x:c r="X187" s="10"/>
      <x:c r="Y187"/>
      <x:c r="Z187"/>
      <x:c r="AA187"/>
      <x:c r="AC187"/>
      <x:c r="AE187" s="10"/>
      <x:c r="AF187"/>
      <x:c r="AG187"/>
      <x:c r="AH187"/>
      <x:c r="AJ187"/>
      <x:c r="AL187" s="10"/>
      <x:c r="AM187"/>
      <x:c r="AN187"/>
    </x:row>
    <x:row r="188">
      <x:c r="Q188" s="10"/>
      <x:c r="R188"/>
      <x:c r="S188"/>
      <x:c r="T188"/>
      <x:c r="V188"/>
      <x:c r="X188" s="10"/>
      <x:c r="Y188"/>
      <x:c r="Z188"/>
      <x:c r="AA188"/>
      <x:c r="AC188"/>
      <x:c r="AE188" s="10"/>
      <x:c r="AF188"/>
      <x:c r="AG188"/>
      <x:c r="AH188"/>
      <x:c r="AJ188"/>
      <x:c r="AL188" s="10"/>
      <x:c r="AM188"/>
      <x:c r="AN188"/>
    </x:row>
    <x:row r="189">
      <x:c r="Q189" s="10"/>
      <x:c r="R189"/>
      <x:c r="S189"/>
      <x:c r="T189"/>
      <x:c r="V189"/>
      <x:c r="X189" s="10"/>
      <x:c r="Y189"/>
      <x:c r="Z189"/>
      <x:c r="AA189"/>
      <x:c r="AC189"/>
      <x:c r="AE189" s="10"/>
      <x:c r="AF189"/>
      <x:c r="AG189"/>
      <x:c r="AH189"/>
      <x:c r="AJ189"/>
      <x:c r="AL189" s="10"/>
      <x:c r="AM189"/>
      <x:c r="AN189"/>
    </x:row>
    <x:row r="190">
      <x:c r="Q190" s="10"/>
      <x:c r="R190"/>
      <x:c r="S190"/>
      <x:c r="T190"/>
      <x:c r="V190"/>
      <x:c r="X190" s="10"/>
      <x:c r="Y190"/>
      <x:c r="Z190"/>
      <x:c r="AA190"/>
      <x:c r="AC190"/>
      <x:c r="AE190" s="10"/>
      <x:c r="AF190"/>
      <x:c r="AG190"/>
      <x:c r="AH190"/>
      <x:c r="AJ190"/>
      <x:c r="AL190" s="10"/>
      <x:c r="AM190"/>
      <x:c r="AN190"/>
    </x:row>
    <x:row r="191">
      <x:c r="Q191" s="10"/>
      <x:c r="R191"/>
      <x:c r="S191"/>
      <x:c r="T191"/>
      <x:c r="V191"/>
      <x:c r="X191" s="10"/>
      <x:c r="Y191"/>
      <x:c r="Z191"/>
      <x:c r="AA191"/>
      <x:c r="AC191"/>
      <x:c r="AE191" s="10"/>
      <x:c r="AF191"/>
      <x:c r="AG191"/>
      <x:c r="AH191"/>
      <x:c r="AJ191"/>
      <x:c r="AL191" s="10"/>
      <x:c r="AM191"/>
      <x:c r="AN191"/>
    </x:row>
    <x:row r="192">
      <x:c r="Q192" s="10"/>
      <x:c r="R192"/>
      <x:c r="S192"/>
      <x:c r="T192"/>
      <x:c r="V192"/>
      <x:c r="X192" s="10"/>
      <x:c r="Y192"/>
      <x:c r="Z192"/>
      <x:c r="AA192"/>
      <x:c r="AC192"/>
      <x:c r="AE192" s="10"/>
      <x:c r="AF192"/>
      <x:c r="AG192"/>
      <x:c r="AH192"/>
      <x:c r="AJ192"/>
      <x:c r="AL192" s="10"/>
      <x:c r="AM192"/>
      <x:c r="AN192"/>
    </x:row>
    <x:row r="193">
      <x:c r="Q193" s="10"/>
      <x:c r="R193"/>
      <x:c r="S193"/>
      <x:c r="T193"/>
      <x:c r="V193"/>
      <x:c r="X193" s="10"/>
      <x:c r="Y193"/>
      <x:c r="Z193"/>
      <x:c r="AA193"/>
      <x:c r="AC193"/>
      <x:c r="AE193" s="10"/>
      <x:c r="AF193"/>
      <x:c r="AG193"/>
      <x:c r="AH193"/>
      <x:c r="AJ193"/>
      <x:c r="AL193" s="10"/>
      <x:c r="AM193"/>
      <x:c r="AN193"/>
    </x:row>
    <x:row r="194">
      <x:c r="Q194" s="10"/>
      <x:c r="R194"/>
      <x:c r="S194"/>
      <x:c r="T194"/>
      <x:c r="V194"/>
      <x:c r="X194" s="10"/>
      <x:c r="Y194"/>
      <x:c r="Z194"/>
      <x:c r="AA194"/>
      <x:c r="AC194"/>
      <x:c r="AE194" s="10"/>
      <x:c r="AF194"/>
      <x:c r="AG194"/>
      <x:c r="AH194"/>
      <x:c r="AJ194"/>
      <x:c r="AL194" s="10"/>
      <x:c r="AM194"/>
      <x:c r="AN194"/>
    </x:row>
    <x:row r="195">
      <x:c r="Q195" s="10"/>
      <x:c r="R195"/>
      <x:c r="S195"/>
      <x:c r="T195"/>
      <x:c r="V195"/>
      <x:c r="X195" s="10"/>
      <x:c r="Y195"/>
      <x:c r="Z195"/>
      <x:c r="AA195"/>
      <x:c r="AC195"/>
      <x:c r="AE195" s="10"/>
      <x:c r="AF195"/>
      <x:c r="AG195"/>
      <x:c r="AH195"/>
      <x:c r="AJ195"/>
      <x:c r="AL195" s="10"/>
      <x:c r="AM195"/>
      <x:c r="AN195"/>
    </x:row>
    <x:row r="196">
      <x:c r="Q196" s="10"/>
      <x:c r="R196"/>
      <x:c r="S196"/>
      <x:c r="T196"/>
      <x:c r="V196"/>
      <x:c r="X196" s="10"/>
      <x:c r="Y196"/>
      <x:c r="Z196"/>
      <x:c r="AA196"/>
      <x:c r="AC196"/>
      <x:c r="AE196" s="10"/>
      <x:c r="AF196"/>
      <x:c r="AG196"/>
      <x:c r="AH196"/>
      <x:c r="AJ196"/>
      <x:c r="AL196" s="10"/>
      <x:c r="AM196"/>
      <x:c r="AN196"/>
    </x:row>
    <x:row r="197">
      <x:c r="Q197" s="10"/>
      <x:c r="R197"/>
      <x:c r="S197"/>
      <x:c r="T197"/>
      <x:c r="V197"/>
      <x:c r="X197" s="10"/>
      <x:c r="Y197"/>
      <x:c r="Z197"/>
      <x:c r="AA197"/>
      <x:c r="AC197"/>
      <x:c r="AE197" s="10"/>
      <x:c r="AF197"/>
      <x:c r="AG197"/>
      <x:c r="AH197"/>
      <x:c r="AJ197"/>
      <x:c r="AL197" s="10"/>
      <x:c r="AM197"/>
      <x:c r="AN197"/>
    </x:row>
    <x:row r="198">
      <x:c r="Q198" s="10"/>
      <x:c r="R198"/>
      <x:c r="S198"/>
      <x:c r="T198"/>
      <x:c r="V198"/>
      <x:c r="X198" s="10"/>
      <x:c r="Y198"/>
      <x:c r="Z198"/>
      <x:c r="AA198"/>
      <x:c r="AC198"/>
      <x:c r="AE198" s="10"/>
      <x:c r="AF198"/>
      <x:c r="AG198"/>
      <x:c r="AH198"/>
      <x:c r="AJ198"/>
      <x:c r="AL198" s="10"/>
      <x:c r="AM198"/>
      <x:c r="AN198"/>
    </x:row>
    <x:row r="199">
      <x:c r="Q199" s="10"/>
      <x:c r="R199"/>
      <x:c r="S199"/>
      <x:c r="T199"/>
      <x:c r="V199"/>
      <x:c r="X199" s="10"/>
      <x:c r="Y199"/>
      <x:c r="Z199"/>
      <x:c r="AA199"/>
      <x:c r="AC199"/>
      <x:c r="AE199" s="10"/>
      <x:c r="AF199"/>
      <x:c r="AG199"/>
      <x:c r="AH199"/>
      <x:c r="AJ199"/>
      <x:c r="AL199" s="10"/>
      <x:c r="AM199"/>
      <x:c r="AN199"/>
    </x:row>
    <x:row r="200">
      <x:c r="Q200" s="10"/>
      <x:c r="R200"/>
      <x:c r="S200"/>
      <x:c r="T200"/>
      <x:c r="V200"/>
      <x:c r="X200" s="10"/>
      <x:c r="Y200"/>
      <x:c r="Z200"/>
      <x:c r="AA200"/>
      <x:c r="AC200"/>
      <x:c r="AE200" s="10"/>
      <x:c r="AF200"/>
      <x:c r="AG200"/>
      <x:c r="AH200"/>
      <x:c r="AJ200"/>
      <x:c r="AL200" s="10"/>
      <x:c r="AM200"/>
      <x:c r="AN200"/>
    </x:row>
    <x:row r="201">
      <x:c r="Q201" s="10"/>
      <x:c r="R201"/>
      <x:c r="S201"/>
      <x:c r="T201"/>
      <x:c r="V201"/>
      <x:c r="X201" s="10"/>
      <x:c r="Y201"/>
      <x:c r="Z201"/>
      <x:c r="AA201"/>
      <x:c r="AC201"/>
      <x:c r="AE201" s="10"/>
      <x:c r="AF201"/>
      <x:c r="AG201"/>
      <x:c r="AH201"/>
      <x:c r="AJ201"/>
      <x:c r="AL201" s="10"/>
      <x:c r="AM201"/>
      <x:c r="AN201"/>
    </x:row>
    <x:row r="202">
      <x:c r="Q202" s="10"/>
      <x:c r="R202"/>
      <x:c r="S202"/>
      <x:c r="T202"/>
      <x:c r="V202"/>
      <x:c r="X202" s="10"/>
      <x:c r="Y202"/>
      <x:c r="Z202"/>
      <x:c r="AA202"/>
      <x:c r="AC202"/>
      <x:c r="AE202" s="10"/>
      <x:c r="AF202"/>
      <x:c r="AG202"/>
      <x:c r="AH202"/>
      <x:c r="AJ202"/>
      <x:c r="AL202" s="10"/>
      <x:c r="AM202"/>
      <x:c r="AN202"/>
    </x:row>
    <x:row r="203">
      <x:c r="Q203" s="10"/>
      <x:c r="R203"/>
      <x:c r="S203"/>
      <x:c r="T203"/>
      <x:c r="V203"/>
      <x:c r="X203" s="10"/>
      <x:c r="Y203"/>
      <x:c r="Z203"/>
      <x:c r="AA203"/>
      <x:c r="AC203"/>
      <x:c r="AE203" s="10"/>
      <x:c r="AF203"/>
      <x:c r="AG203"/>
      <x:c r="AH203"/>
      <x:c r="AJ203"/>
      <x:c r="AL203" s="10"/>
      <x:c r="AM203"/>
      <x:c r="AN203"/>
    </x:row>
    <x:row r="204">
      <x:c r="Q204" s="10"/>
      <x:c r="R204"/>
      <x:c r="S204"/>
      <x:c r="T204"/>
      <x:c r="V204"/>
      <x:c r="X204" s="10"/>
      <x:c r="Y204"/>
      <x:c r="Z204"/>
      <x:c r="AA204"/>
      <x:c r="AC204"/>
      <x:c r="AE204" s="10"/>
      <x:c r="AF204"/>
      <x:c r="AG204"/>
      <x:c r="AH204"/>
      <x:c r="AJ204"/>
      <x:c r="AL204" s="10"/>
      <x:c r="AM204"/>
      <x:c r="AN204"/>
    </x:row>
    <x:row r="205">
      <x:c r="Q205" s="10"/>
      <x:c r="R205"/>
      <x:c r="S205"/>
      <x:c r="T205"/>
      <x:c r="V205"/>
      <x:c r="X205" s="10"/>
      <x:c r="Y205"/>
      <x:c r="Z205"/>
      <x:c r="AA205"/>
      <x:c r="AC205"/>
      <x:c r="AE205" s="10"/>
      <x:c r="AF205"/>
      <x:c r="AG205"/>
      <x:c r="AH205"/>
      <x:c r="AJ205"/>
      <x:c r="AL205" s="10"/>
      <x:c r="AM205"/>
      <x:c r="AN205"/>
    </x:row>
    <x:row r="206">
      <x:c r="Q206" s="10"/>
      <x:c r="R206"/>
      <x:c r="S206"/>
      <x:c r="T206"/>
      <x:c r="V206"/>
      <x:c r="X206" s="10"/>
      <x:c r="Y206"/>
      <x:c r="Z206"/>
      <x:c r="AA206"/>
      <x:c r="AC206"/>
      <x:c r="AE206" s="10"/>
      <x:c r="AF206"/>
      <x:c r="AG206"/>
      <x:c r="AH206"/>
      <x:c r="AJ206"/>
      <x:c r="AL206" s="10"/>
      <x:c r="AM206"/>
      <x:c r="AN206"/>
    </x:row>
    <x:row r="207">
      <x:c r="Q207" s="10"/>
      <x:c r="R207"/>
      <x:c r="S207"/>
      <x:c r="T207"/>
      <x:c r="V207"/>
      <x:c r="X207" s="10"/>
      <x:c r="Y207"/>
      <x:c r="Z207"/>
      <x:c r="AA207"/>
      <x:c r="AC207"/>
      <x:c r="AE207" s="10"/>
      <x:c r="AF207"/>
      <x:c r="AG207"/>
      <x:c r="AH207"/>
      <x:c r="AJ207"/>
      <x:c r="AL207" s="10"/>
      <x:c r="AM207"/>
      <x:c r="AN207"/>
    </x:row>
    <x:row r="208">
      <x:c r="Q208" s="10"/>
      <x:c r="R208"/>
      <x:c r="S208"/>
      <x:c r="T208"/>
      <x:c r="V208"/>
      <x:c r="X208" s="10"/>
      <x:c r="Y208"/>
      <x:c r="Z208"/>
      <x:c r="AA208"/>
      <x:c r="AC208"/>
      <x:c r="AE208" s="10"/>
      <x:c r="AF208"/>
      <x:c r="AG208"/>
      <x:c r="AH208"/>
      <x:c r="AJ208"/>
      <x:c r="AL208" s="10"/>
      <x:c r="AM208"/>
      <x:c r="AN208"/>
    </x:row>
    <x:row r="209">
      <x:c r="Q209" s="10"/>
      <x:c r="R209"/>
      <x:c r="S209"/>
      <x:c r="T209"/>
      <x:c r="V209"/>
      <x:c r="X209" s="10"/>
      <x:c r="Y209"/>
      <x:c r="Z209"/>
      <x:c r="AA209"/>
      <x:c r="AC209"/>
      <x:c r="AE209" s="10"/>
      <x:c r="AF209"/>
      <x:c r="AG209"/>
      <x:c r="AH209"/>
      <x:c r="AJ209"/>
      <x:c r="AL209" s="10"/>
      <x:c r="AM209"/>
      <x:c r="AN209"/>
    </x:row>
    <x:row r="210">
      <x:c r="Q210" s="10"/>
      <x:c r="R210"/>
      <x:c r="S210"/>
      <x:c r="T210"/>
      <x:c r="V210"/>
      <x:c r="X210" s="10"/>
      <x:c r="Y210"/>
      <x:c r="Z210"/>
      <x:c r="AA210"/>
      <x:c r="AC210"/>
      <x:c r="AE210" s="10"/>
      <x:c r="AF210"/>
      <x:c r="AG210"/>
      <x:c r="AH210"/>
      <x:c r="AJ210"/>
      <x:c r="AL210" s="10"/>
      <x:c r="AM210"/>
      <x:c r="AN210"/>
    </x:row>
    <x:row r="211">
      <x:c r="Q211" s="10"/>
      <x:c r="R211"/>
      <x:c r="S211"/>
      <x:c r="T211"/>
      <x:c r="V211"/>
      <x:c r="X211" s="10"/>
      <x:c r="Y211"/>
      <x:c r="Z211"/>
      <x:c r="AA211"/>
      <x:c r="AC211"/>
      <x:c r="AE211" s="10"/>
      <x:c r="AF211"/>
      <x:c r="AG211"/>
      <x:c r="AH211"/>
      <x:c r="AJ211"/>
      <x:c r="AL211" s="10"/>
      <x:c r="AM211"/>
      <x:c r="AN211"/>
    </x:row>
    <x:row r="212">
      <x:c r="Q212" s="10"/>
      <x:c r="R212"/>
      <x:c r="S212"/>
      <x:c r="T212"/>
      <x:c r="V212"/>
      <x:c r="X212" s="10"/>
      <x:c r="Y212"/>
      <x:c r="Z212"/>
      <x:c r="AA212"/>
      <x:c r="AC212"/>
      <x:c r="AE212" s="10"/>
      <x:c r="AF212"/>
      <x:c r="AG212"/>
      <x:c r="AH212"/>
      <x:c r="AJ212"/>
      <x:c r="AL212" s="10"/>
      <x:c r="AM212"/>
      <x:c r="AN212"/>
    </x:row>
    <x:row r="213">
      <x:c r="Q213" s="10"/>
      <x:c r="R213"/>
      <x:c r="S213"/>
      <x:c r="T213"/>
      <x:c r="V213"/>
      <x:c r="X213" s="10"/>
      <x:c r="Y213"/>
      <x:c r="Z213"/>
      <x:c r="AA213"/>
      <x:c r="AC213"/>
      <x:c r="AE213" s="10"/>
      <x:c r="AF213"/>
      <x:c r="AG213"/>
      <x:c r="AH213"/>
      <x:c r="AJ213"/>
      <x:c r="AL213" s="10"/>
      <x:c r="AM213"/>
      <x:c r="AN213"/>
    </x:row>
    <x:row r="214">
      <x:c r="Q214" s="10"/>
      <x:c r="R214"/>
      <x:c r="S214"/>
      <x:c r="T214"/>
      <x:c r="V214"/>
      <x:c r="X214" s="10"/>
      <x:c r="Y214"/>
      <x:c r="Z214"/>
      <x:c r="AA214"/>
      <x:c r="AC214"/>
      <x:c r="AE214" s="10"/>
      <x:c r="AF214"/>
      <x:c r="AG214"/>
      <x:c r="AH214"/>
      <x:c r="AJ214"/>
      <x:c r="AL214" s="10"/>
      <x:c r="AM214"/>
      <x:c r="AN214"/>
    </x:row>
    <x:row r="215">
      <x:c r="Q215" s="10"/>
      <x:c r="R215"/>
      <x:c r="S215"/>
      <x:c r="T215"/>
      <x:c r="V215"/>
      <x:c r="X215" s="10"/>
      <x:c r="Y215"/>
      <x:c r="Z215"/>
      <x:c r="AA215"/>
      <x:c r="AC215"/>
      <x:c r="AE215" s="10"/>
      <x:c r="AF215"/>
      <x:c r="AG215"/>
      <x:c r="AH215"/>
      <x:c r="AJ215"/>
      <x:c r="AL215" s="10"/>
      <x:c r="AM215"/>
      <x:c r="AN215"/>
    </x:row>
    <x:row r="216">
      <x:c r="Q216" s="10"/>
      <x:c r="R216"/>
      <x:c r="S216"/>
      <x:c r="T216"/>
      <x:c r="V216"/>
      <x:c r="X216" s="10"/>
      <x:c r="Y216"/>
      <x:c r="Z216"/>
      <x:c r="AA216"/>
      <x:c r="AC216"/>
      <x:c r="AE216" s="10"/>
      <x:c r="AF216"/>
      <x:c r="AG216"/>
      <x:c r="AH216"/>
      <x:c r="AJ216"/>
      <x:c r="AL216" s="10"/>
      <x:c r="AM216"/>
      <x:c r="AN216"/>
    </x:row>
    <x:row r="217">
      <x:c r="Q217" s="10"/>
      <x:c r="R217"/>
      <x:c r="S217"/>
      <x:c r="T217"/>
      <x:c r="V217"/>
      <x:c r="X217" s="10"/>
      <x:c r="Y217"/>
      <x:c r="Z217"/>
      <x:c r="AA217"/>
      <x:c r="AC217"/>
      <x:c r="AE217" s="10"/>
      <x:c r="AF217"/>
      <x:c r="AG217"/>
      <x:c r="AH217"/>
      <x:c r="AJ217"/>
      <x:c r="AL217" s="10"/>
      <x:c r="AM217"/>
      <x:c r="AN217"/>
    </x:row>
    <x:row r="218">
      <x:c r="Q218" s="10"/>
      <x:c r="R218"/>
      <x:c r="S218"/>
      <x:c r="T218"/>
      <x:c r="V218"/>
      <x:c r="X218" s="10"/>
      <x:c r="Y218"/>
      <x:c r="Z218"/>
      <x:c r="AA218"/>
      <x:c r="AC218"/>
      <x:c r="AE218" s="10"/>
      <x:c r="AF218"/>
      <x:c r="AG218"/>
      <x:c r="AH218"/>
      <x:c r="AJ218"/>
      <x:c r="AL218" s="10"/>
      <x:c r="AM218"/>
      <x:c r="AN218"/>
    </x:row>
    <x:row r="219">
      <x:c r="Q219" s="10"/>
      <x:c r="R219"/>
      <x:c r="S219"/>
      <x:c r="T219"/>
      <x:c r="V219"/>
      <x:c r="X219" s="10"/>
      <x:c r="Y219"/>
      <x:c r="Z219"/>
      <x:c r="AA219"/>
      <x:c r="AC219"/>
      <x:c r="AE219" s="10"/>
      <x:c r="AF219"/>
      <x:c r="AG219"/>
      <x:c r="AH219"/>
      <x:c r="AJ219"/>
      <x:c r="AL219" s="10"/>
      <x:c r="AM219"/>
      <x:c r="AN219"/>
    </x:row>
    <x:row r="220">
      <x:c r="Q220" s="10"/>
      <x:c r="R220"/>
      <x:c r="S220"/>
      <x:c r="T220"/>
      <x:c r="V220"/>
      <x:c r="X220" s="10"/>
      <x:c r="Y220"/>
      <x:c r="Z220"/>
      <x:c r="AA220"/>
      <x:c r="AC220"/>
      <x:c r="AE220" s="10"/>
      <x:c r="AF220"/>
      <x:c r="AG220"/>
      <x:c r="AH220"/>
      <x:c r="AJ220"/>
      <x:c r="AL220" s="10"/>
      <x:c r="AM220"/>
      <x:c r="AN220"/>
    </x:row>
    <x:row r="221">
      <x:c r="Q221" s="10"/>
      <x:c r="R221"/>
      <x:c r="S221"/>
      <x:c r="T221"/>
      <x:c r="V221"/>
      <x:c r="X221" s="10"/>
      <x:c r="Y221"/>
      <x:c r="Z221"/>
      <x:c r="AA221"/>
      <x:c r="AC221"/>
      <x:c r="AE221" s="10"/>
      <x:c r="AF221"/>
      <x:c r="AG221"/>
      <x:c r="AH221"/>
      <x:c r="AJ221"/>
      <x:c r="AL221" s="10"/>
      <x:c r="AM221"/>
      <x:c r="AN221"/>
    </x:row>
    <x:row r="222">
      <x:c r="Q222" s="10"/>
      <x:c r="R222"/>
      <x:c r="S222"/>
      <x:c r="T222"/>
      <x:c r="V222"/>
      <x:c r="X222" s="10"/>
      <x:c r="Y222"/>
      <x:c r="Z222"/>
      <x:c r="AA222"/>
      <x:c r="AC222"/>
      <x:c r="AE222" s="10"/>
      <x:c r="AF222"/>
      <x:c r="AG222"/>
      <x:c r="AH222"/>
      <x:c r="AJ222"/>
      <x:c r="AL222" s="10"/>
      <x:c r="AM222"/>
      <x:c r="AN222"/>
    </x:row>
    <x:row r="223">
      <x:c r="Q223" s="10"/>
      <x:c r="R223"/>
      <x:c r="S223"/>
      <x:c r="T223"/>
      <x:c r="V223"/>
      <x:c r="X223" s="10"/>
      <x:c r="Y223"/>
      <x:c r="Z223"/>
      <x:c r="AA223"/>
      <x:c r="AC223"/>
      <x:c r="AE223" s="10"/>
      <x:c r="AF223"/>
      <x:c r="AG223"/>
      <x:c r="AH223"/>
      <x:c r="AJ223"/>
      <x:c r="AL223" s="10"/>
      <x:c r="AM223"/>
      <x:c r="AN223"/>
    </x:row>
    <x:row r="224">
      <x:c r="Q224" s="10"/>
      <x:c r="R224"/>
      <x:c r="S224"/>
      <x:c r="T224"/>
      <x:c r="V224"/>
      <x:c r="X224" s="10"/>
      <x:c r="Y224"/>
      <x:c r="Z224"/>
      <x:c r="AA224"/>
      <x:c r="AC224"/>
      <x:c r="AE224" s="10"/>
      <x:c r="AF224"/>
      <x:c r="AG224"/>
      <x:c r="AH224"/>
      <x:c r="AJ224"/>
      <x:c r="AL224" s="10"/>
      <x:c r="AM224"/>
      <x:c r="AN224"/>
    </x:row>
    <x:row r="225">
      <x:c r="Q225" s="10"/>
      <x:c r="R225"/>
      <x:c r="S225"/>
      <x:c r="T225"/>
      <x:c r="V225"/>
      <x:c r="X225" s="10"/>
      <x:c r="Y225"/>
      <x:c r="Z225"/>
      <x:c r="AA225"/>
      <x:c r="AC225"/>
      <x:c r="AE225" s="10"/>
      <x:c r="AF225"/>
      <x:c r="AG225"/>
      <x:c r="AH225"/>
      <x:c r="AJ225"/>
      <x:c r="AL225" s="10"/>
      <x:c r="AM225"/>
      <x:c r="AN225"/>
    </x:row>
    <x:row r="226">
      <x:c r="Q226" s="10"/>
      <x:c r="R226"/>
      <x:c r="S226"/>
      <x:c r="T226"/>
      <x:c r="V226"/>
      <x:c r="X226" s="10"/>
      <x:c r="Y226"/>
      <x:c r="Z226"/>
      <x:c r="AA226"/>
      <x:c r="AC226"/>
      <x:c r="AE226" s="10"/>
      <x:c r="AF226"/>
      <x:c r="AG226"/>
      <x:c r="AH226"/>
      <x:c r="AJ226"/>
      <x:c r="AL226" s="10"/>
      <x:c r="AM226"/>
      <x:c r="AN226"/>
    </x:row>
    <x:row r="227">
      <x:c r="Q227" s="10"/>
      <x:c r="R227"/>
      <x:c r="S227"/>
      <x:c r="T227"/>
      <x:c r="V227"/>
      <x:c r="X227" s="10"/>
      <x:c r="Y227"/>
      <x:c r="Z227"/>
      <x:c r="AA227"/>
      <x:c r="AC227"/>
      <x:c r="AE227" s="10"/>
      <x:c r="AF227"/>
      <x:c r="AG227"/>
      <x:c r="AH227"/>
      <x:c r="AJ227"/>
      <x:c r="AL227" s="10"/>
      <x:c r="AM227"/>
      <x:c r="AN227"/>
    </x:row>
    <x:row r="228">
      <x:c r="Q228" s="10"/>
      <x:c r="R228"/>
      <x:c r="S228"/>
      <x:c r="T228"/>
      <x:c r="V228"/>
      <x:c r="X228" s="10"/>
      <x:c r="Y228"/>
      <x:c r="Z228"/>
      <x:c r="AA228"/>
      <x:c r="AC228"/>
      <x:c r="AE228" s="10"/>
      <x:c r="AF228"/>
      <x:c r="AG228"/>
      <x:c r="AH228"/>
      <x:c r="AJ228"/>
      <x:c r="AL228" s="10"/>
      <x:c r="AM228"/>
      <x:c r="AN228"/>
    </x:row>
    <x:row r="229">
      <x:c r="Q229" s="10"/>
      <x:c r="R229"/>
      <x:c r="S229"/>
      <x:c r="T229"/>
      <x:c r="V229"/>
      <x:c r="X229" s="10"/>
      <x:c r="Y229"/>
      <x:c r="Z229"/>
      <x:c r="AA229"/>
      <x:c r="AC229"/>
      <x:c r="AE229" s="10"/>
      <x:c r="AF229"/>
      <x:c r="AG229"/>
      <x:c r="AH229"/>
      <x:c r="AJ229"/>
      <x:c r="AL229" s="10"/>
      <x:c r="AM229"/>
      <x:c r="AN229"/>
    </x:row>
    <x:row r="230">
      <x:c r="Q230" s="10"/>
      <x:c r="R230"/>
      <x:c r="S230"/>
      <x:c r="T230"/>
      <x:c r="V230"/>
      <x:c r="X230" s="10"/>
      <x:c r="Y230"/>
      <x:c r="Z230"/>
      <x:c r="AA230"/>
      <x:c r="AC230"/>
      <x:c r="AE230" s="10"/>
      <x:c r="AF230"/>
      <x:c r="AG230"/>
      <x:c r="AH230"/>
      <x:c r="AJ230"/>
      <x:c r="AL230" s="10"/>
      <x:c r="AM230"/>
      <x:c r="AN230"/>
    </x:row>
    <x:row r="231">
      <x:c r="Q231" s="10"/>
      <x:c r="R231"/>
      <x:c r="S231"/>
      <x:c r="T231"/>
      <x:c r="V231"/>
      <x:c r="X231" s="10"/>
      <x:c r="Y231"/>
      <x:c r="Z231"/>
      <x:c r="AA231"/>
      <x:c r="AC231"/>
      <x:c r="AE231" s="10"/>
      <x:c r="AF231"/>
      <x:c r="AG231"/>
      <x:c r="AH231"/>
      <x:c r="AJ231"/>
      <x:c r="AL231" s="10"/>
      <x:c r="AM231"/>
      <x:c r="AN231"/>
    </x:row>
    <x:row r="232">
      <x:c r="Q232" s="10"/>
      <x:c r="R232"/>
      <x:c r="S232"/>
      <x:c r="T232"/>
      <x:c r="V232"/>
      <x:c r="X232" s="10"/>
      <x:c r="Y232"/>
      <x:c r="Z232"/>
      <x:c r="AA232"/>
      <x:c r="AC232"/>
      <x:c r="AE232" s="10"/>
      <x:c r="AF232"/>
      <x:c r="AG232"/>
      <x:c r="AH232"/>
      <x:c r="AJ232"/>
      <x:c r="AL232" s="10"/>
      <x:c r="AM232"/>
      <x:c r="AN232"/>
    </x:row>
    <x:row r="233">
      <x:c r="Q233" s="10"/>
      <x:c r="R233"/>
      <x:c r="S233"/>
      <x:c r="T233"/>
      <x:c r="V233"/>
      <x:c r="X233" s="10"/>
      <x:c r="Y233"/>
      <x:c r="Z233"/>
      <x:c r="AA233"/>
      <x:c r="AC233"/>
      <x:c r="AE233" s="10"/>
      <x:c r="AF233"/>
      <x:c r="AG233"/>
      <x:c r="AH233"/>
      <x:c r="AJ233"/>
      <x:c r="AL233" s="10"/>
      <x:c r="AM233"/>
      <x:c r="AN233"/>
    </x:row>
    <x:row r="234">
      <x:c r="Q234" s="10"/>
      <x:c r="R234"/>
      <x:c r="S234"/>
      <x:c r="T234"/>
      <x:c r="V234"/>
      <x:c r="X234" s="10"/>
      <x:c r="Y234"/>
      <x:c r="Z234"/>
      <x:c r="AA234"/>
      <x:c r="AC234"/>
      <x:c r="AE234" s="10"/>
      <x:c r="AF234"/>
      <x:c r="AG234"/>
      <x:c r="AH234"/>
      <x:c r="AJ234"/>
      <x:c r="AL234" s="10"/>
      <x:c r="AM234"/>
      <x:c r="AN234"/>
    </x:row>
    <x:row r="235">
      <x:c r="Q235" s="10"/>
      <x:c r="R235"/>
      <x:c r="S235"/>
      <x:c r="T235"/>
      <x:c r="V235"/>
      <x:c r="X235" s="10"/>
      <x:c r="Y235"/>
      <x:c r="Z235"/>
      <x:c r="AA235"/>
      <x:c r="AC235"/>
      <x:c r="AE235" s="10"/>
      <x:c r="AF235"/>
      <x:c r="AG235"/>
      <x:c r="AH235"/>
      <x:c r="AJ235"/>
      <x:c r="AL235" s="10"/>
      <x:c r="AM235"/>
      <x:c r="AN235"/>
    </x:row>
    <x:row r="236">
      <x:c r="Q236" s="10"/>
      <x:c r="R236"/>
      <x:c r="S236"/>
      <x:c r="T236"/>
      <x:c r="V236"/>
      <x:c r="X236" s="10"/>
      <x:c r="Y236"/>
      <x:c r="Z236"/>
      <x:c r="AA236"/>
      <x:c r="AC236"/>
      <x:c r="AE236" s="10"/>
      <x:c r="AF236"/>
      <x:c r="AG236"/>
      <x:c r="AH236"/>
      <x:c r="AJ236"/>
      <x:c r="AL236" s="10"/>
      <x:c r="AM236"/>
      <x:c r="AN236"/>
    </x:row>
    <x:row r="237">
      <x:c r="Q237" s="10"/>
      <x:c r="R237"/>
      <x:c r="S237"/>
      <x:c r="T237"/>
      <x:c r="V237"/>
      <x:c r="X237" s="10"/>
      <x:c r="Y237"/>
      <x:c r="Z237"/>
      <x:c r="AA237"/>
      <x:c r="AC237"/>
      <x:c r="AE237" s="10"/>
      <x:c r="AF237"/>
      <x:c r="AG237"/>
      <x:c r="AH237"/>
      <x:c r="AJ237"/>
      <x:c r="AL237" s="10"/>
      <x:c r="AM237"/>
      <x:c r="AN237"/>
    </x:row>
    <x:row r="238">
      <x:c r="Q238" s="10"/>
      <x:c r="R238"/>
      <x:c r="S238"/>
      <x:c r="T238"/>
      <x:c r="V238"/>
      <x:c r="X238" s="10"/>
      <x:c r="Y238"/>
      <x:c r="Z238"/>
      <x:c r="AA238"/>
      <x:c r="AC238"/>
      <x:c r="AE238" s="10"/>
      <x:c r="AF238"/>
      <x:c r="AG238"/>
      <x:c r="AH238"/>
      <x:c r="AJ238"/>
      <x:c r="AL238" s="10"/>
      <x:c r="AM238"/>
      <x:c r="AN238"/>
    </x:row>
    <x:row r="239">
      <x:c r="Q239" s="10"/>
      <x:c r="R239"/>
      <x:c r="S239"/>
      <x:c r="T239"/>
      <x:c r="V239"/>
      <x:c r="X239" s="10"/>
      <x:c r="Y239"/>
      <x:c r="Z239"/>
      <x:c r="AA239"/>
      <x:c r="AC239"/>
      <x:c r="AE239" s="10"/>
      <x:c r="AF239"/>
      <x:c r="AG239"/>
      <x:c r="AH239"/>
      <x:c r="AJ239"/>
      <x:c r="AL239" s="10"/>
      <x:c r="AM239"/>
      <x:c r="AN239"/>
    </x:row>
    <x:row r="240">
      <x:c r="Q240" s="10"/>
      <x:c r="R240"/>
      <x:c r="S240"/>
      <x:c r="T240"/>
      <x:c r="V240"/>
      <x:c r="X240" s="10"/>
      <x:c r="Y240"/>
      <x:c r="Z240"/>
      <x:c r="AA240"/>
      <x:c r="AC240"/>
      <x:c r="AE240" s="10"/>
      <x:c r="AF240"/>
      <x:c r="AG240"/>
      <x:c r="AH240"/>
      <x:c r="AJ240"/>
      <x:c r="AL240" s="10"/>
      <x:c r="AM240"/>
      <x:c r="AN240"/>
    </x:row>
    <x:row r="241">
      <x:c r="Q241" s="10"/>
      <x:c r="R241"/>
      <x:c r="S241"/>
      <x:c r="T241"/>
      <x:c r="V241"/>
      <x:c r="X241" s="10"/>
      <x:c r="Y241"/>
      <x:c r="Z241"/>
      <x:c r="AA241"/>
      <x:c r="AC241"/>
      <x:c r="AE241" s="10"/>
      <x:c r="AF241"/>
      <x:c r="AG241"/>
      <x:c r="AH241"/>
      <x:c r="AJ241"/>
      <x:c r="AL241" s="10"/>
      <x:c r="AM241"/>
      <x:c r="AN241"/>
    </x:row>
    <x:row r="242">
      <x:c r="Q242" s="10"/>
      <x:c r="R242"/>
      <x:c r="S242"/>
      <x:c r="T242"/>
      <x:c r="V242"/>
      <x:c r="X242" s="10"/>
      <x:c r="Y242"/>
      <x:c r="Z242"/>
      <x:c r="AA242"/>
      <x:c r="AC242"/>
      <x:c r="AE242" s="10"/>
      <x:c r="AF242"/>
      <x:c r="AG242"/>
      <x:c r="AH242"/>
      <x:c r="AJ242"/>
      <x:c r="AL242" s="10"/>
      <x:c r="AM242"/>
      <x:c r="AN242"/>
    </x:row>
    <x:row r="243">
      <x:c r="Q243" s="10"/>
      <x:c r="R243"/>
      <x:c r="S243"/>
      <x:c r="T243"/>
      <x:c r="V243"/>
      <x:c r="X243" s="10"/>
      <x:c r="Y243"/>
      <x:c r="Z243"/>
      <x:c r="AA243"/>
      <x:c r="AC243"/>
      <x:c r="AE243" s="10"/>
      <x:c r="AF243"/>
      <x:c r="AG243"/>
      <x:c r="AH243"/>
      <x:c r="AJ243"/>
      <x:c r="AL243" s="10"/>
      <x:c r="AM243"/>
      <x:c r="AN243"/>
    </x:row>
    <x:row r="244">
      <x:c r="Q244" s="10"/>
      <x:c r="R244"/>
      <x:c r="S244"/>
      <x:c r="T244"/>
      <x:c r="V244"/>
      <x:c r="X244" s="10"/>
      <x:c r="Y244"/>
      <x:c r="Z244"/>
      <x:c r="AA244"/>
      <x:c r="AC244"/>
      <x:c r="AE244" s="10"/>
      <x:c r="AF244"/>
      <x:c r="AG244"/>
      <x:c r="AH244"/>
      <x:c r="AJ244"/>
      <x:c r="AL244" s="10"/>
      <x:c r="AM244"/>
      <x:c r="AN244"/>
    </x:row>
    <x:row r="245">
      <x:c r="Q245" s="10"/>
      <x:c r="R245"/>
      <x:c r="S245"/>
      <x:c r="T245"/>
      <x:c r="V245"/>
      <x:c r="X245" s="10"/>
      <x:c r="Y245"/>
      <x:c r="Z245"/>
      <x:c r="AA245"/>
      <x:c r="AC245"/>
      <x:c r="AE245" s="10"/>
      <x:c r="AF245"/>
      <x:c r="AG245"/>
      <x:c r="AH245"/>
      <x:c r="AJ245"/>
      <x:c r="AL245" s="10"/>
      <x:c r="AM245"/>
      <x:c r="AN245"/>
    </x:row>
    <x:row r="246">
      <x:c r="Q246" s="10"/>
      <x:c r="R246"/>
      <x:c r="S246"/>
      <x:c r="T246"/>
      <x:c r="V246"/>
      <x:c r="X246" s="10"/>
      <x:c r="Y246"/>
      <x:c r="Z246"/>
      <x:c r="AA246"/>
      <x:c r="AC246"/>
      <x:c r="AE246" s="10"/>
      <x:c r="AF246"/>
      <x:c r="AG246"/>
      <x:c r="AH246"/>
      <x:c r="AJ246"/>
      <x:c r="AL246" s="10"/>
      <x:c r="AM246"/>
      <x:c r="AN246"/>
    </x:row>
    <x:row r="247">
      <x:c r="Q247" s="10"/>
      <x:c r="R247"/>
      <x:c r="S247"/>
      <x:c r="T247"/>
      <x:c r="V247"/>
      <x:c r="X247" s="10"/>
      <x:c r="Y247"/>
      <x:c r="Z247"/>
      <x:c r="AA247"/>
      <x:c r="AC247"/>
      <x:c r="AE247" s="10"/>
      <x:c r="AF247"/>
      <x:c r="AG247"/>
      <x:c r="AH247"/>
      <x:c r="AJ247"/>
      <x:c r="AL247" s="10"/>
      <x:c r="AM247"/>
      <x:c r="AN247"/>
    </x:row>
    <x:row r="248">
      <x:c r="Q248" s="10"/>
      <x:c r="R248"/>
      <x:c r="S248"/>
      <x:c r="T248"/>
      <x:c r="V248"/>
      <x:c r="X248" s="10"/>
      <x:c r="Y248"/>
      <x:c r="Z248"/>
      <x:c r="AA248"/>
      <x:c r="AC248"/>
      <x:c r="AE248" s="10"/>
      <x:c r="AF248"/>
      <x:c r="AG248"/>
      <x:c r="AH248"/>
      <x:c r="AJ248"/>
      <x:c r="AL248" s="10"/>
      <x:c r="AM248"/>
      <x:c r="AN248"/>
    </x:row>
    <x:row r="249">
      <x:c r="Q249" s="10"/>
      <x:c r="R249"/>
      <x:c r="S249"/>
      <x:c r="T249"/>
      <x:c r="V249"/>
      <x:c r="X249" s="10"/>
      <x:c r="Y249"/>
      <x:c r="Z249"/>
      <x:c r="AA249"/>
      <x:c r="AC249"/>
      <x:c r="AE249" s="10"/>
      <x:c r="AF249"/>
      <x:c r="AG249"/>
      <x:c r="AH249"/>
      <x:c r="AJ249"/>
      <x:c r="AL249" s="10"/>
      <x:c r="AM249"/>
      <x:c r="AN249"/>
    </x:row>
    <x:row r="250">
      <x:c r="Q250" s="10"/>
      <x:c r="R250"/>
      <x:c r="S250"/>
      <x:c r="T250"/>
      <x:c r="V250"/>
      <x:c r="X250" s="10"/>
      <x:c r="Y250"/>
      <x:c r="Z250"/>
      <x:c r="AA250"/>
      <x:c r="AC250"/>
      <x:c r="AE250" s="10"/>
      <x:c r="AF250"/>
      <x:c r="AG250"/>
      <x:c r="AH250"/>
      <x:c r="AJ250"/>
      <x:c r="AL250" s="10"/>
      <x:c r="AM250"/>
      <x:c r="AN250"/>
    </x:row>
    <x:row r="251">
      <x:c r="Q251" s="10"/>
      <x:c r="R251"/>
      <x:c r="S251"/>
      <x:c r="T251"/>
      <x:c r="V251"/>
      <x:c r="X251" s="10"/>
      <x:c r="Y251"/>
      <x:c r="Z251"/>
      <x:c r="AA251"/>
      <x:c r="AC251"/>
      <x:c r="AE251" s="10"/>
      <x:c r="AF251"/>
      <x:c r="AG251"/>
      <x:c r="AH251"/>
      <x:c r="AJ251"/>
      <x:c r="AL251" s="10"/>
      <x:c r="AM251"/>
      <x:c r="AN251"/>
    </x:row>
    <x:row r="252">
      <x:c r="Q252" s="10"/>
      <x:c r="R252"/>
      <x:c r="S252"/>
      <x:c r="T252"/>
      <x:c r="V252"/>
      <x:c r="X252" s="10"/>
      <x:c r="Y252"/>
      <x:c r="Z252"/>
      <x:c r="AA252"/>
      <x:c r="AC252"/>
      <x:c r="AE252" s="10"/>
      <x:c r="AF252"/>
      <x:c r="AG252"/>
      <x:c r="AH252"/>
      <x:c r="AJ252"/>
      <x:c r="AL252" s="10"/>
      <x:c r="AM252"/>
      <x:c r="AN252"/>
    </x:row>
    <x:row r="253">
      <x:c r="Q253" s="10"/>
      <x:c r="R253"/>
      <x:c r="S253"/>
      <x:c r="T253"/>
      <x:c r="V253"/>
      <x:c r="X253" s="10"/>
      <x:c r="Y253"/>
      <x:c r="Z253"/>
      <x:c r="AA253"/>
      <x:c r="AC253"/>
      <x:c r="AE253" s="10"/>
      <x:c r="AF253"/>
      <x:c r="AG253"/>
      <x:c r="AH253"/>
      <x:c r="AJ253"/>
      <x:c r="AL253" s="10"/>
      <x:c r="AM253"/>
      <x:c r="AN253"/>
    </x:row>
    <x:row r="254">
      <x:c r="Q254" s="10"/>
      <x:c r="R254"/>
      <x:c r="S254"/>
      <x:c r="T254"/>
      <x:c r="V254"/>
      <x:c r="X254" s="10"/>
      <x:c r="Y254"/>
      <x:c r="Z254"/>
      <x:c r="AA254"/>
      <x:c r="AC254"/>
      <x:c r="AE254" s="10"/>
      <x:c r="AF254"/>
      <x:c r="AG254"/>
      <x:c r="AH254"/>
      <x:c r="AJ254"/>
      <x:c r="AL254" s="10"/>
      <x:c r="AM254"/>
      <x:c r="AN254"/>
    </x:row>
    <x:row r="255">
      <x:c r="Q255" s="10"/>
      <x:c r="R255"/>
      <x:c r="S255"/>
      <x:c r="T255"/>
      <x:c r="V255"/>
      <x:c r="X255" s="10"/>
      <x:c r="Y255"/>
      <x:c r="Z255"/>
      <x:c r="AA255"/>
      <x:c r="AC255"/>
      <x:c r="AE255" s="10"/>
      <x:c r="AF255"/>
      <x:c r="AG255"/>
      <x:c r="AH255"/>
      <x:c r="AJ255"/>
      <x:c r="AL255" s="10"/>
      <x:c r="AM255"/>
      <x:c r="AN255"/>
    </x:row>
    <x:row r="256">
      <x:c r="Q256" s="10"/>
      <x:c r="R256"/>
      <x:c r="S256"/>
      <x:c r="T256"/>
      <x:c r="V256"/>
      <x:c r="X256" s="10"/>
      <x:c r="Y256"/>
      <x:c r="Z256"/>
      <x:c r="AA256"/>
      <x:c r="AC256"/>
      <x:c r="AE256" s="10"/>
      <x:c r="AF256"/>
      <x:c r="AG256"/>
      <x:c r="AH256"/>
      <x:c r="AJ256"/>
      <x:c r="AL256" s="10"/>
      <x:c r="AM256"/>
      <x:c r="AN256"/>
    </x:row>
    <x:row r="257">
      <x:c r="Q257" s="10"/>
      <x:c r="R257"/>
      <x:c r="S257"/>
      <x:c r="T257"/>
      <x:c r="V257"/>
      <x:c r="X257" s="10"/>
      <x:c r="Y257"/>
      <x:c r="Z257"/>
      <x:c r="AA257"/>
      <x:c r="AC257"/>
      <x:c r="AE257" s="10"/>
      <x:c r="AF257"/>
      <x:c r="AG257"/>
      <x:c r="AH257"/>
      <x:c r="AJ257"/>
      <x:c r="AL257" s="10"/>
      <x:c r="AM257"/>
      <x:c r="AN257"/>
    </x:row>
    <x:row r="258">
      <x:c r="Q258" s="10"/>
      <x:c r="R258"/>
      <x:c r="S258"/>
      <x:c r="T258"/>
      <x:c r="V258"/>
      <x:c r="X258" s="10"/>
      <x:c r="Y258"/>
      <x:c r="Z258"/>
      <x:c r="AA258"/>
      <x:c r="AC258"/>
      <x:c r="AE258" s="10"/>
      <x:c r="AF258"/>
      <x:c r="AG258"/>
      <x:c r="AH258"/>
      <x:c r="AJ258"/>
      <x:c r="AL258" s="10"/>
      <x:c r="AM258"/>
      <x:c r="AN258"/>
    </x:row>
    <x:row r="259">
      <x:c r="Q259" s="10"/>
      <x:c r="R259"/>
      <x:c r="S259"/>
      <x:c r="T259"/>
      <x:c r="V259"/>
      <x:c r="X259" s="10"/>
      <x:c r="Y259"/>
      <x:c r="Z259"/>
      <x:c r="AA259"/>
      <x:c r="AC259"/>
      <x:c r="AE259" s="10"/>
      <x:c r="AF259"/>
      <x:c r="AG259"/>
      <x:c r="AH259"/>
      <x:c r="AJ259"/>
      <x:c r="AL259" s="10"/>
      <x:c r="AM259"/>
      <x:c r="AN259"/>
    </x:row>
    <x:row r="260">
      <x:c r="Q260" s="10"/>
      <x:c r="R260"/>
      <x:c r="S260"/>
      <x:c r="T260"/>
      <x:c r="V260"/>
      <x:c r="X260" s="10"/>
      <x:c r="Y260"/>
      <x:c r="Z260"/>
      <x:c r="AA260"/>
      <x:c r="AC260"/>
      <x:c r="AE260" s="10"/>
      <x:c r="AF260"/>
      <x:c r="AG260"/>
      <x:c r="AH260"/>
      <x:c r="AJ260"/>
      <x:c r="AL260" s="10"/>
      <x:c r="AM260"/>
      <x:c r="AN260"/>
    </x:row>
    <x:row r="261">
      <x:c r="Q261" s="10"/>
      <x:c r="R261"/>
      <x:c r="S261"/>
      <x:c r="T261"/>
      <x:c r="U261"/>
      <x:c r="V261"/>
      <x:c r="X261" s="10"/>
      <x:c r="Y261"/>
      <x:c r="Z261"/>
      <x:c r="AA261"/>
      <x:c r="AB261"/>
      <x:c r="AC261"/>
      <x:c r="AE261" s="10"/>
      <x:c r="AF261"/>
      <x:c r="AG261"/>
      <x:c r="AH261"/>
      <x:c r="AI261"/>
      <x:c r="AJ261"/>
      <x:c r="AL261" s="10"/>
      <x:c r="AM261"/>
      <x:c r="AN261"/>
      <x:c r="AO26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399999618530273"/>
  <x:cols>
    <x:col min="1" max="1" width="34" customWidth="1"/>
    <x:col min="2" max="2" width="20" customWidth="1"/>
    <x:col min="3" max="6" width="18" customWidth="1"/>
  </x:cols>
  <x:sheetData>
    <x:row r="1">
      <x:c r="A1" s="26"/>
      <x:c r="B1" s="22"/>
      <x:c r="C1" s="22"/>
      <x:c r="D1" s="22"/>
      <x:c r="E1" s="22"/>
      <x:c r="F1" s="22"/>
    </x:row>
    <x:row r="2">
      <x:c r="A2" s="22"/>
      <x:c r="B2" s="28"/>
      <x:c r="C2" s="28"/>
      <x:c r="D2" s="28"/>
      <x:c r="E2" s="28"/>
      <x:c r="F2" s="28"/>
    </x:row>
    <x:row r="3">
      <x:c r="A3" s="22"/>
      <x:c r="B3" s="28"/>
      <x:c r="C3" s="28"/>
      <x:c r="D3" s="28"/>
      <x:c r="E3" s="28"/>
      <x:c r="F3" s="28"/>
    </x:row>
    <x:row r="4">
      <x:c r="A4" s="22"/>
      <x:c r="B4" s="28"/>
      <x:c r="C4" s="28"/>
      <x:c r="D4" s="28"/>
      <x:c r="E4" s="28"/>
      <x:c r="F4" s="28"/>
    </x:row>
    <x:row r="5">
      <x:c r="A5" s="22"/>
      <x:c r="B5" s="28"/>
      <x:c r="C5" s="28"/>
      <x:c r="D5" s="28"/>
      <x:c r="E5" s="28"/>
      <x:c r="F5" s="28"/>
    </x:row>
    <x:row r="6">
      <x:c r="A6" s="8"/>
      <x:c r="B6" s="8"/>
      <x:c r="C6" s="8"/>
      <x:c r="D6" s="8"/>
      <x:c r="E6" s="8"/>
      <x:c r="F6" s="8"/>
    </x:row>
    <x:row r="7">
      <x:c r="A7" s="8"/>
      <x:c r="B7" s="8"/>
      <x:c r="C7" s="8"/>
      <x:c r="D7" s="8"/>
      <x:c r="E7" s="8"/>
      <x:c r="F7" s="8"/>
    </x:row>
    <x:row r="8">
      <x:c r="A8" s="8"/>
      <x:c r="B8" s="8"/>
      <x:c r="C8" s="8"/>
      <x:c r="D8" s="8"/>
      <x:c r="E8" s="8"/>
      <x:c r="F8" s="8"/>
    </x:row>
    <x:row r="9">
      <x:c r="A9" s="8"/>
      <x:c r="B9" s="8"/>
      <x:c r="C9" s="8"/>
      <x:c r="D9" s="8"/>
      <x:c r="E9" s="8"/>
      <x:c r="F9" s="8"/>
    </x:row>
    <x:row r="10">
      <x:c r="A10" s="8"/>
      <x:c r="B10" s="8"/>
      <x:c r="C10" s="8"/>
      <x:c r="D10" s="8"/>
      <x:c r="E10" s="8"/>
      <x:c r="F10" s="8"/>
    </x:row>
    <x:row r="11">
      <x:c r="A11" s="8"/>
      <x:c r="B11" s="8"/>
      <x:c r="C11" s="8"/>
      <x:c r="D11" s="8"/>
      <x:c r="E11" s="8"/>
      <x:c r="F11" s="8"/>
    </x:row>
    <x:row r="12">
      <x:c r="A12" s="8"/>
      <x:c r="B12" s="8"/>
      <x:c r="C12" s="8"/>
      <x:c r="D12" s="8"/>
      <x:c r="E12" s="8"/>
      <x:c r="F12" s="8"/>
    </x:row>
    <x:row r="13">
      <x:c r="A13" s="8"/>
      <x:c r="B13" s="8"/>
      <x:c r="C13" s="8"/>
      <x:c r="D13" s="8"/>
      <x:c r="E13" s="8"/>
      <x:c r="F13" s="8"/>
    </x:row>
    <x:row r="14">
      <x:c r="A14" s="8"/>
      <x:c r="B14" s="8"/>
      <x:c r="C14" s="8"/>
      <x:c r="D14" s="8"/>
      <x:c r="E14" s="8"/>
      <x:c r="F14" s="8"/>
    </x:row>
    <x:row r="15">
      <x:c r="A15" s="8"/>
      <x:c r="B15" s="8"/>
      <x:c r="C15" s="8"/>
      <x:c r="D15" s="8"/>
      <x:c r="E15" s="8"/>
      <x:c r="F15" s="8"/>
    </x:row>
    <x:row r="16">
      <x:c r="A16" s="8"/>
      <x:c r="B16" s="8"/>
      <x:c r="C16" s="8"/>
      <x:c r="D16" s="8"/>
      <x:c r="E16" s="8"/>
      <x:c r="F16" s="8"/>
    </x:row>
    <x:row r="17">
      <x:c r="A17" s="8"/>
      <x:c r="B17" s="8"/>
      <x:c r="C17" s="8"/>
      <x:c r="D17" s="8"/>
      <x:c r="E17" s="8"/>
      <x:c r="F17" s="8"/>
    </x:row>
    <x:row r="18">
      <x:c r="A18" s="8"/>
      <x:c r="B18" s="8"/>
      <x:c r="C18" s="8"/>
      <x:c r="D18" s="8"/>
      <x:c r="E18" s="8"/>
      <x:c r="F18" s="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399999618530273"/>
  <x:cols>
    <x:col min="1" max="1" width="32" customWidth="1"/>
    <x:col min="2" max="3" width="16" customWidth="1"/>
    <x:col min="4" max="4" width="32" customWidth="1"/>
    <x:col min="5" max="5" width="55" customWidth="1"/>
    <x:col min="6" max="6" width="32" customWidth="1"/>
    <x:col min="7" max="7" width="16" customWidth="1"/>
    <x:col min="8" max="12" width="24" customWidth="1"/>
    <x:col min="13" max="15" width="16" customWidth="1"/>
    <x:col min="16" max="16" width="24" customWidth="1"/>
    <x:col min="17" max="17" width="16" customWidth="1"/>
    <x:col min="18" max="20" width="24" customWidth="1"/>
    <x:col min="21" max="21" width="32" customWidth="1"/>
    <x:col min="22" max="24" width="24" customWidth="1"/>
    <x:col min="25" max="25" width="55" customWidth="1"/>
  </x:cols>
  <x:sheetData>
    <x:row r="1" ht="28.799999237060547" customHeight="1">
      <x:c r="A1" s="34"/>
      <x:c r="B1" s="35"/>
      <x:c r="C1" s="35"/>
      <x:c r="D1" s="36"/>
      <x:c r="E1" s="36"/>
      <x:c r="F1" s="36"/>
      <x:c r="G1" s="36"/>
      <x:c r="H1" s="36"/>
      <x:c r="I1" s="36"/>
      <x:c r="J1" s="36"/>
      <x:c r="K1" s="36"/>
      <x:c r="L1" s="36"/>
      <x:c r="M1" s="35"/>
      <x:c r="N1" s="36"/>
      <x:c r="O1" s="35"/>
      <x:c r="P1" s="36"/>
      <x:c r="Q1" s="36"/>
      <x:c r="R1" s="36"/>
      <x:c r="S1" s="36"/>
      <x:c r="T1" s="36"/>
      <x:c r="U1" s="36"/>
      <x:c r="V1" s="36"/>
      <x:c r="W1" s="36"/>
      <x:c r="X1" s="36"/>
      <x:c r="Y1" s="68"/>
      <x:c r="Z1" s="68"/>
      <x:c r="AA1" s="68"/>
    </x:row>
    <x:row r="2" ht="60" customHeight="1">
      <x:c r="A2" s="37"/>
      <x:c r="B2" s="38"/>
      <x:c r="C2" s="38"/>
      <x:c r="D2" s="39"/>
      <x:c r="E2" s="39"/>
      <x:c r="F2" s="39"/>
      <x:c r="G2" s="39"/>
      <x:c r="H2" s="39"/>
      <x:c r="I2" s="39"/>
      <x:c r="J2" s="39"/>
      <x:c r="K2" s="39"/>
      <x:c r="L2" s="39"/>
      <x:c r="M2" s="38"/>
      <x:c r="N2" s="39"/>
      <x:c r="O2" s="38"/>
      <x:c r="P2" s="39"/>
      <x:c r="Q2" s="39"/>
      <x:c r="R2" s="39"/>
      <x:c r="S2" s="39"/>
      <x:c r="T2" s="39"/>
      <x:c r="U2" s="39"/>
      <x:c r="V2" s="39"/>
      <x:c r="W2" s="39"/>
      <x:c r="X2" s="39"/>
      <x:c r="Y2" s="69"/>
      <x:c r="Z2" s="70"/>
      <x:c r="AA2" s="70"/>
    </x:row>
    <x:row r="3" ht="60" customHeight="1">
      <x:c r="A3" s="37"/>
      <x:c r="B3" s="38"/>
      <x:c r="C3" s="38"/>
      <x:c r="D3" s="39"/>
      <x:c r="E3" s="39"/>
      <x:c r="F3" s="39"/>
      <x:c r="G3" s="39"/>
      <x:c r="H3" s="39"/>
      <x:c r="I3" s="39"/>
      <x:c r="J3" s="39"/>
      <x:c r="K3" s="39"/>
      <x:c r="L3" s="39"/>
      <x:c r="M3" s="38"/>
      <x:c r="N3" s="39"/>
      <x:c r="O3" s="38"/>
      <x:c r="P3" s="39"/>
      <x:c r="Q3" s="39"/>
      <x:c r="R3" s="39"/>
      <x:c r="S3" s="39"/>
      <x:c r="T3" s="39"/>
      <x:c r="U3" s="39"/>
      <x:c r="V3" s="39"/>
      <x:c r="W3" s="39"/>
      <x:c r="X3" s="39"/>
      <x:c r="Y3" s="69"/>
      <x:c r="Z3" s="70"/>
      <x:c r="AA3" s="70"/>
    </x:row>
    <x:row r="4" ht="60" customHeight="1">
      <x:c r="A4" s="37"/>
      <x:c r="B4" s="38"/>
      <x:c r="C4" s="38"/>
      <x:c r="D4" s="39"/>
      <x:c r="E4" s="39"/>
      <x:c r="F4" s="39"/>
      <x:c r="G4" s="39"/>
      <x:c r="H4" s="39"/>
      <x:c r="I4" s="39"/>
      <x:c r="J4" s="39"/>
      <x:c r="K4" s="39"/>
      <x:c r="L4" s="39"/>
      <x:c r="M4" s="38"/>
      <x:c r="N4" s="39"/>
      <x:c r="O4" s="38"/>
      <x:c r="P4" s="39"/>
      <x:c r="Q4" s="39"/>
      <x:c r="R4" s="39"/>
      <x:c r="S4" s="39"/>
      <x:c r="T4" s="39"/>
      <x:c r="U4" s="39"/>
      <x:c r="V4" s="39"/>
      <x:c r="W4" s="39"/>
      <x:c r="X4" s="39"/>
      <x:c r="Y4" s="69"/>
      <x:c r="Z4" s="70"/>
      <x:c r="AA4" s="70"/>
    </x:row>
    <x:row r="5" ht="60" customHeight="1">
      <x:c r="A5" s="37"/>
      <x:c r="B5" s="38"/>
      <x:c r="C5" s="38"/>
      <x:c r="D5" s="39"/>
      <x:c r="E5" s="39"/>
      <x:c r="F5" s="39"/>
      <x:c r="G5" s="39"/>
      <x:c r="H5" s="39"/>
      <x:c r="I5" s="39"/>
      <x:c r="J5" s="39"/>
      <x:c r="K5" s="39"/>
      <x:c r="L5" s="39"/>
      <x:c r="M5" s="38"/>
      <x:c r="N5" s="39"/>
      <x:c r="O5" s="38"/>
      <x:c r="P5" s="39"/>
      <x:c r="Q5" s="39"/>
      <x:c r="R5" s="39"/>
      <x:c r="S5" s="39"/>
      <x:c r="T5" s="39"/>
      <x:c r="U5" s="39"/>
      <x:c r="V5" s="39"/>
      <x:c r="W5" s="39"/>
      <x:c r="X5" s="39"/>
      <x:c r="Y5" s="69"/>
      <x:c r="Z5" s="70"/>
      <x:c r="AA5" s="70"/>
    </x:row>
    <x:row r="6" ht="60" customHeight="1">
      <x:c r="A6" s="37"/>
      <x:c r="B6" s="38"/>
      <x:c r="C6" s="38"/>
      <x:c r="D6" s="39"/>
      <x:c r="E6" s="39"/>
      <x:c r="F6" s="39"/>
      <x:c r="G6" s="39"/>
      <x:c r="H6" s="39"/>
      <x:c r="I6" s="39"/>
      <x:c r="J6" s="39"/>
      <x:c r="K6" s="39"/>
      <x:c r="L6" s="39"/>
      <x:c r="M6" s="38"/>
      <x:c r="N6" s="39"/>
      <x:c r="O6" s="38"/>
      <x:c r="P6" s="39"/>
      <x:c r="Q6" s="39"/>
      <x:c r="R6" s="39"/>
      <x:c r="S6" s="39"/>
      <x:c r="T6" s="39"/>
      <x:c r="U6" s="39"/>
      <x:c r="V6" s="39"/>
      <x:c r="W6" s="39"/>
      <x:c r="X6" s="39"/>
      <x:c r="Y6" s="69"/>
      <x:c r="Z6" s="70"/>
      <x:c r="AA6" s="70"/>
    </x:row>
    <x:row r="7" ht="60" customHeight="1">
      <x:c r="A7" s="37"/>
      <x:c r="B7" s="38"/>
      <x:c r="C7" s="38"/>
      <x:c r="D7" s="39"/>
      <x:c r="E7" s="39"/>
      <x:c r="F7" s="39"/>
      <x:c r="G7" s="39"/>
      <x:c r="H7" s="39"/>
      <x:c r="I7" s="39"/>
      <x:c r="J7" s="39"/>
      <x:c r="K7" s="39"/>
      <x:c r="L7" s="39"/>
      <x:c r="M7" s="38"/>
      <x:c r="N7" s="39"/>
      <x:c r="O7" s="38"/>
      <x:c r="P7" s="39"/>
      <x:c r="Q7" s="39"/>
      <x:c r="R7" s="39"/>
      <x:c r="S7" s="39"/>
      <x:c r="T7" s="39"/>
      <x:c r="U7" s="39"/>
      <x:c r="V7" s="39"/>
      <x:c r="W7" s="39"/>
      <x:c r="X7" s="39"/>
      <x:c r="Y7" s="69"/>
      <x:c r="Z7" s="70"/>
      <x:c r="AA7" s="70"/>
    </x:row>
    <x:row r="8" ht="60" customHeight="1">
      <x:c r="A8" s="37"/>
      <x:c r="B8" s="38"/>
      <x:c r="C8" s="38"/>
      <x:c r="D8" s="39"/>
      <x:c r="E8" s="39"/>
      <x:c r="F8" s="39"/>
      <x:c r="G8" s="39"/>
      <x:c r="H8" s="39"/>
      <x:c r="I8" s="39"/>
      <x:c r="J8" s="39"/>
      <x:c r="K8" s="39"/>
      <x:c r="L8" s="39"/>
      <x:c r="M8" s="38"/>
      <x:c r="N8" s="39"/>
      <x:c r="O8" s="38"/>
      <x:c r="P8" s="39"/>
      <x:c r="Q8" s="39"/>
      <x:c r="R8" s="39"/>
      <x:c r="S8" s="39"/>
      <x:c r="T8" s="39"/>
      <x:c r="U8" s="39"/>
      <x:c r="V8" s="39"/>
      <x:c r="W8" s="39"/>
      <x:c r="X8" s="39"/>
      <x:c r="Y8" s="69"/>
      <x:c r="Z8" s="70"/>
      <x:c r="AA8" s="70"/>
    </x:row>
  </x:sheetData>
  <x:mergeCells>
    <x:mergeCell ref="Y1:AA1"/>
    <x:mergeCell ref="Y5:AA5"/>
    <x:mergeCell ref="Y6:AA6"/>
    <x:mergeCell ref="Y2:AA2"/>
    <x:mergeCell ref="Y8:AA8"/>
    <x:mergeCell ref="Y4:AA4"/>
    <x:mergeCell ref="Y3:AA3"/>
    <x:mergeCell ref="Y7:AA7"/>
  </x:mergeCells>
  <x:pageMargins left="0.7" right="0.7" top="0.75" bottom="0.75" header="0.3" footer="0.3"/>
</x:worksheet>
</file>