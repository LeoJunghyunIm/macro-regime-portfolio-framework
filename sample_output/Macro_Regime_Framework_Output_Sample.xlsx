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58B94328-49F5-47B4-B07A-571B5627BCB6}" xr6:coauthVersionLast="47" xr6:coauthVersionMax="47" xr10:uidLastSave="{00000000-0000-0000-0000-000000000000}"/>
  <bookViews>
    <workbookView xWindow="5760" yWindow="1116"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<sst xmlns="http://schemas.openxmlformats.org/spreadsheetml/2006/main" count="74833" uniqueCount="441">
  <si>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</si>
  <si>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</si>
  <si>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</si>
  <si>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</si>
  <si>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</si>
  <si>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</si>
  <si>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</si>
  <si>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</si>
  <si>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</si>
  <si>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</si>
  <si>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</si>
  <si>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</si>
  <si>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</si>
  <si>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</si>
  <si>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</si>
  <si>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</si>
  <si>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</si>
  <si>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Expectations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</si>
  <si>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</si>
  <si>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</si>
  <si>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</si>
  <si>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</si>
  <si>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</si>
  <si>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</si>
  <si>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</si>
  <si>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</si>
  <si>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</si>
  <si>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</si>
  <si>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</si>
  <si>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</si>
  <si>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</si>
  <si>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</si>
  <si>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</si>
  <si>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benchmark-relative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</si>
  <si>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</si>
  <si>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</si>
  <si>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</si>
  <si>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</si>
  <si>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</si>
  <si>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</si>
  <si>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</si>
  <si>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</si>
  <si>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</si>
  <si>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</si>
  <si>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</si>
  <si>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</si>
  <si>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</si>
  <si>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</si>
  <si>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</si>
  <si>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</si>
  <si>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</si>
  <si>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</si>
  <si>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</si>
  <si>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</si>
  <si>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</si>
  <si>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</si>
  <si>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</si>
  <si>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</si>
  <si>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</si>
  <si>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</si>
  <si>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</si>
  <si>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</si>
  <si>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</si>
  <si>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</si>
  <si>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</si>
  <si>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</si>
  <si>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</si>
  <si>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</si>
  <si>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</si>
  <si>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</si>
  <si>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</si>
  <si>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</si>
  <si>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</si>
  <si>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</si>
  <si>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</si>
  <si>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</si>
  <si>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</si>
  <si>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</si>
  <si>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</si>
  <si>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</si>
  <si>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</si>
  <si>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</si>
  <si>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</si>
  <si>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</si>
  <si>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</si>
  <si>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</si>
  <si>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</si>
  <si>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</si>
  <si>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</si>
  <si>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</si>
  <si>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</si>
  <si>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</si>
  <si>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</si>
  <si>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</si>
  <si>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</si>
  <si>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</si>
  <si>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</si>
  <si>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router stance.</t>
  </si>
  <si>
    <t>Underweight</t>
  </si>
  <si>
    <t>Real Yield Tightening is ON, but no Equity or Duration Overweight stance needed to be capped. Final stance matches base Portfolio Router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</si>
  <si>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</si>
  <si>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</si>
  <si>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</si>
  <si>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</si>
  <si>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</si>
  <si>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</si>
  <si>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</si>
  <si>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</si>
  <si>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</si>
  <si>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</si>
  <si>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</si>
  <si>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</si>
  <si>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</si>
  <si>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</si>
  <si>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</si>
  <si>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</si>
  <si>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</si>
  <si>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</si>
  <si>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</si>
  <si>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</si>
  <si>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</si>
  <si>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</si>
  <si>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</si>
  <si>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</si>
  <si>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</si>
  <si>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</si>
  <si>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</si>
  <si>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</si>
  <si>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</si>
  <si>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</si>
  <si>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</si>
  <si>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</si>
  <si>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</si>
  <si>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</si>
  <si>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</si>
  <si>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</si>
  <si>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</si>
  <si>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</si>
  <si>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</si>
  <si>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</si>
  <si>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</si>
  <si>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</si>
  <si>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</si>
  <si>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</si>
  <si>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</si>
  <si>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</si>
  <si>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</si>
  <si>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</si>
  <si>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</si>
  <si>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</si>
  <si>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</si>
  <si>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</si>
  <si>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</si>
  <si>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</si>
  <si>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</si>
  <si>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</si>
  <si>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</si>
  <si>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</si>
  <si>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</si>
  <si>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</si>
  <si>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</si>
  <si>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</si>
  <si>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</si>
  <si>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</si>
  <si>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</si>
  <si>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</si>
  <si>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</si>
  <si>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</si>
  <si>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</si>
  <si>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</si>
  <si>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</si>
  <si>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</si>
  <si>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</si>
  <si>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</si>
  <si>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</si>
  <si>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</si>
  <si>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</si>
  <si>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</si>
  <si>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</si>
  <si>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</si>
  <si>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</si>
  <si>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</si>
  <si>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</si>
  <si>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</si>
  <si>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</si>
  <si>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</si>
  <si>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</si>
  <si>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</si>
  <si>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</si>
  <si>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</si>
  <si>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</si>
  <si>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</si>
  <si>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</si>
  <si>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</si>
  <si>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</si>
  <si>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</si>
  <si>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</si>
  <si>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</si>
  <si>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</si>
  <si>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</si>
  <si>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</si>
  <si>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</si>
  <si>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</si>
  <si>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</si>
  <si>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</si>
  <si>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</si>
  <si>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</si>
  <si>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</si>
  <si>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</si>
  <si>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</si>
  <si>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</si>
  <si>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</si>
  <si>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</si>
  <si>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2026-06-26.</t>
  </si>
  <si>
    <t>Series Freshness</t>
  </si>
  <si>
    <t>All tracked series are fresh as of 2026-06-26.</t>
  </si>
  <si>
    <t>Rolling Window Sufficiency</t>
  </si>
  <si>
    <t>All required Risk Appetite / Rates &amp; Inflation series have at least 52 non-null weekly observations as of 2026-06-26. hy_oas: PASS; nfci: PASS; vix: PASS; claims: PASS; dgs10: PASS; t10yie: PASS; dfii10: PASS.</t>
  </si>
  <si>
    <t>As-of Date Alignment</t>
  </si>
  <si>
    <t>Risk Appetite and Rates &amp; Inflation As-of Date indexes match through 2026-06-26.</t>
  </si>
  <si>
    <t>Portfolio Router Output Available</t>
  </si>
  <si>
    <t>Portfolio Router output is available through 2026-06-26.</t>
  </si>
  <si>
    <t>Latest Signal Validity</t>
  </si>
  <si>
    <t>Latest Risk Appetite, Rates &amp; Inflation, and Portfolio Router outputs are valid as of 2026-06-26.</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</si>
  <si>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</si>
  <si>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</si>
  <si>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</si>
  <si>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</si>
  <si>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</si>
  <si>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</si>
  <si>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</si>
  <si>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</si>
  <si>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</si>
  <si>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</si>
  <si>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</si>
  <si>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</si>
  <si>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</si>
  <si>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</si>
  <si>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</si>
  <si>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</si>
  <si>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</si>
  <si>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</si>
  <si>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</si>
  <si>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</si>
  <si>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</si>
  <si>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</si>
  <si>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</si>
  <si>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</si>
  <si>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</si>
  <si>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</si>
  <si>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</si>
  <si>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</si>
  <si>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</si>
  <si>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</si>
  <si>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</si>
  <si>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</si>
  <si>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</si>
  <si>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</si>
  <si>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</si>
  <si>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</si>
  <si>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</si>
  <si>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</si>
  <si>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</si>
  <si>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</si>
  <si>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</si>
  <si>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</si>
  <si>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</si>
  <si>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</si>
  <si>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</si>
  <si>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</si>
  <si>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</si>
  <si>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</si>
  <si>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</si>
  <si>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</si>
  <si>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</si>
  <si>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</si>
  <si>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</si>
  <si>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</si>
  <si>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</si>
  <si>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</si>
  <si>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</si>
  <si>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</si>
  <si>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</si>
  <si>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</si>
  <si>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</si>
  <si>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</si>
  <si>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</si>
  <si>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</si>
  <si>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</si>
  <si>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</si>
  <si>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</si>
  <si>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</si>
  <si>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</si>
  <si>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momentum turned positive; the spread level remains below P80.</t>
  </si>
  <si>
    <t>R4</t>
  </si>
  <si>
    <t>Memo Subtitle</t>
  </si>
  <si>
    <t>Weekly Research Memo | As of: 2026-06-26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</si>
  <si>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</si>
  <si>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</si>
  <si>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</si>
  <si>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</si>
  <si>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</si>
  <si>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</si>
  <si>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2026-06-26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</si>
  <si>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</si>
  <si>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</si>
  <si>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</si>
  <si>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</si>
  <si>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</si>
  <si>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</si>
  <si>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</si>
  <si>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</si>
  <si>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</si>
  <si>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</si>
  <si>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</si>
  <si>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</si>
  <si>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</si>
  <si>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</si>
  <si>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</si>
  <si>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</si>
  <si>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</si>
  <si>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</si>
  <si>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</si>
  <si>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</si>
  <si>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</si>
  <si>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</si>
  <si>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1, consistent with a Neutral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</si>
  <si>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</si>
  <si>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</si>
  <si>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</si>
  <si>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</si>
  <si>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</si>
  <si>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</si>
  <si>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</si>
  <si>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</si>
  <si>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</si>
  <si>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</si>
  <si>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</si>
  <si>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</si>
  <si>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</si>
  <si>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</si>
  <si>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</si>
  <si>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</si>
  <si>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</si>
  <si>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</si>
  <si>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</si>
  <si>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</si>
  <si>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</si>
  <si>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</si>
  <si>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</si>
  <si>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</si>
  <si>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</si>
  <si>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</si>
  <si>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</si>
  <si>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</si>
  <si>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</si>
  <si>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</si>
  <si>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</si>
  <si>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</si>
  <si>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</si>
  <si>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</si>
  <si>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</si>
  <si>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</si>
  <si>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</si>
  <si>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</si>
  <si>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</si>
  <si>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</si>
  <si>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</si>
  <si>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</si>
  <si>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</si>
  <si>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</si>
  <si>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</si>
  <si>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</si>
  <si>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</si>
  <si>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</si>
  <si>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</si>
  <si>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</si>
  <si>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</si>
  <si>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</si>
  <si>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</si>
  <si>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</si>
  <si>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</si>
  <si>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</si>
  <si>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</si>
  <si>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</si>
  <si>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</si>
  <si>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</si>
  <si>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</si>
  <si>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</si>
  <si>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</si>
  <si>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</si>
  <si>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</si>
  <si>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</si>
  <si>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</si>
  <si>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</si>
  <si>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</si>
  <si>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</si>
  <si>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</si>
  <si>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</si>
  <si>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</si>
  <si>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</si>
  <si>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</si>
  <si>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</si>
  <si>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2026-06-19</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</si>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</sst>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1">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3" fillId="4" borderId="1" xfId="0" applyFont="1" applyFill="1" applyBorder="1" applyAlignment="1">
      <alignmen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2" fillId="0" borderId="1" xfId="0" applyFont="1" applyBorder="1" applyAlignment="1">
      <alignment vertical="center" wrapText="1"/>
    </xf>
    <xf numFmtId="0" fontId="8" fillId="0" borderId="0" xfId="0" applyFont="1" applyAlignment="1">
      <alignment horizontal="center" vertical="center"/>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xf>
    <xf numFmtId="0" fontId="0" fillId="0" borderId="4" xfId="0" applyBorder="1"/>
    <xf numFmtId="0" fontId="16" fillId="0" borderId="4" xfId="0" applyFont="1" applyBorder="1" applyAlignment="1">
      <alignment vertical="center" wrapText="1"/>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EF59-47F1-A8C5-11F9C8D0854A}"/>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EF59-47F1-A8C5-11F9C8D0854A}"/>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EF59-47F1-A8C5-11F9C8D0854A}"/>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EF59-47F1-A8C5-11F9C8D0854A}"/>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8F13-40A7-A9DC-00348FAFD692}"/>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8F13-40A7-A9DC-00348FAFD692}"/>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_DASH_DATA!$AM$2:$AM$261</c:f>
              <c:numCache>
                <c:formatCode>General</c:formatCode>
                <c:ptCount val="260"/>
                <c:pt idx="0">
                  <c:v>1.1399999999999999</c:v>
                </c:pt>
                <c:pt idx="1">
                  <c:v>1.06</c:v>
                </c:pt>
                <c:pt idx="2">
                  <c:v>1.08</c:v>
                </c:pt>
                <c:pt idx="3">
                  <c:v>1.05</c:v>
                </c:pt>
                <c:pt idx="4">
                  <c:v>1.1000000000000001</c:v>
                </c:pt>
                <c:pt idx="5">
                  <c:v>1.06</c:v>
                </c:pt>
                <c:pt idx="6">
                  <c:v>1.03</c:v>
                </c:pt>
                <c:pt idx="7">
                  <c:v>1.0900000000000001</c:v>
                </c:pt>
                <c:pt idx="8">
                  <c:v>1.1200000000000001</c:v>
                </c:pt>
                <c:pt idx="9">
                  <c:v>1.1200000000000001</c:v>
                </c:pt>
                <c:pt idx="10">
                  <c:v>1.1399999999999999</c:v>
                </c:pt>
                <c:pt idx="11">
                  <c:v>1.18</c:v>
                </c:pt>
                <c:pt idx="12">
                  <c:v>1.21</c:v>
                </c:pt>
                <c:pt idx="13">
                  <c:v>1.29</c:v>
                </c:pt>
                <c:pt idx="14">
                  <c:v>1.18</c:v>
                </c:pt>
                <c:pt idx="15">
                  <c:v>1.18</c:v>
                </c:pt>
                <c:pt idx="16">
                  <c:v>1.07</c:v>
                </c:pt>
                <c:pt idx="17">
                  <c:v>1.06</c:v>
                </c:pt>
                <c:pt idx="18">
                  <c:v>1.05</c:v>
                </c:pt>
                <c:pt idx="19">
                  <c:v>1.02</c:v>
                </c:pt>
                <c:pt idx="20">
                  <c:v>0.98</c:v>
                </c:pt>
                <c:pt idx="21">
                  <c:v>0.75000000000000011</c:v>
                </c:pt>
                <c:pt idx="22">
                  <c:v>0.80999999999999994</c:v>
                </c:pt>
                <c:pt idx="23">
                  <c:v>0.74999999999999989</c:v>
                </c:pt>
                <c:pt idx="24">
                  <c:v>0.79</c:v>
                </c:pt>
                <c:pt idx="25">
                  <c:v>0.79</c:v>
                </c:pt>
                <c:pt idx="26">
                  <c:v>0.89</c:v>
                </c:pt>
                <c:pt idx="27">
                  <c:v>0.79</c:v>
                </c:pt>
                <c:pt idx="28">
                  <c:v>0.74</c:v>
                </c:pt>
                <c:pt idx="29">
                  <c:v>0.63000000000000012</c:v>
                </c:pt>
                <c:pt idx="30">
                  <c:v>0.61999999999999988</c:v>
                </c:pt>
                <c:pt idx="31">
                  <c:v>0.41999999999999987</c:v>
                </c:pt>
                <c:pt idx="32">
                  <c:v>0.45</c:v>
                </c:pt>
                <c:pt idx="33">
                  <c:v>0.41999999999999987</c:v>
                </c:pt>
                <c:pt idx="34">
                  <c:v>0.24</c:v>
                </c:pt>
                <c:pt idx="35">
                  <c:v>0.25</c:v>
                </c:pt>
                <c:pt idx="36">
                  <c:v>0.17000000000000021</c:v>
                </c:pt>
                <c:pt idx="37">
                  <c:v>0.18000000000000019</c:v>
                </c:pt>
                <c:pt idx="38">
                  <c:v>-4.9999999999999822E-2</c:v>
                </c:pt>
                <c:pt idx="39">
                  <c:v>0.19000000000000039</c:v>
                </c:pt>
                <c:pt idx="40">
                  <c:v>0.35999999999999988</c:v>
                </c:pt>
                <c:pt idx="41">
                  <c:v>0.17999999999999969</c:v>
                </c:pt>
                <c:pt idx="42">
                  <c:v>0.18999999999999989</c:v>
                </c:pt>
                <c:pt idx="43">
                  <c:v>0.39999999999999991</c:v>
                </c:pt>
                <c:pt idx="44">
                  <c:v>0.32000000000000028</c:v>
                </c:pt>
                <c:pt idx="45">
                  <c:v>0.17999999999999969</c:v>
                </c:pt>
                <c:pt idx="46">
                  <c:v>0.27</c:v>
                </c:pt>
                <c:pt idx="47">
                  <c:v>0.29999999999999982</c:v>
                </c:pt>
                <c:pt idx="48">
                  <c:v>8.9999999999999858E-2</c:v>
                </c:pt>
                <c:pt idx="49">
                  <c:v>8.0000000000000071E-2</c:v>
                </c:pt>
                <c:pt idx="50">
                  <c:v>8.9999999999999858E-2</c:v>
                </c:pt>
                <c:pt idx="51">
                  <c:v>4.0000000000000042E-2</c:v>
                </c:pt>
                <c:pt idx="52">
                  <c:v>-3.0000000000000249E-2</c:v>
                </c:pt>
                <c:pt idx="53">
                  <c:v>-0.19999999999999971</c:v>
                </c:pt>
                <c:pt idx="54">
                  <c:v>-0.21</c:v>
                </c:pt>
                <c:pt idx="55">
                  <c:v>-0.2200000000000002</c:v>
                </c:pt>
                <c:pt idx="56">
                  <c:v>-0.41000000000000009</c:v>
                </c:pt>
                <c:pt idx="57">
                  <c:v>-0.41000000000000009</c:v>
                </c:pt>
                <c:pt idx="58">
                  <c:v>-0.27</c:v>
                </c:pt>
                <c:pt idx="59">
                  <c:v>-0.33000000000000013</c:v>
                </c:pt>
                <c:pt idx="60">
                  <c:v>-0.19999999999999971</c:v>
                </c:pt>
                <c:pt idx="61">
                  <c:v>-0.23</c:v>
                </c:pt>
                <c:pt idx="62">
                  <c:v>-0.39999999999999991</c:v>
                </c:pt>
                <c:pt idx="63">
                  <c:v>-0.51000000000000023</c:v>
                </c:pt>
                <c:pt idx="64">
                  <c:v>-0.38999999999999968</c:v>
                </c:pt>
                <c:pt idx="65">
                  <c:v>-0.4099999999999997</c:v>
                </c:pt>
                <c:pt idx="66">
                  <c:v>-0.48000000000000043</c:v>
                </c:pt>
                <c:pt idx="67">
                  <c:v>-0.28000000000000019</c:v>
                </c:pt>
                <c:pt idx="68">
                  <c:v>-0.39000000000000062</c:v>
                </c:pt>
                <c:pt idx="69">
                  <c:v>-0.49000000000000021</c:v>
                </c:pt>
                <c:pt idx="70">
                  <c:v>-0.52</c:v>
                </c:pt>
                <c:pt idx="71">
                  <c:v>-0.69</c:v>
                </c:pt>
                <c:pt idx="72">
                  <c:v>-0.73999999999999977</c:v>
                </c:pt>
                <c:pt idx="73">
                  <c:v>-0.77000000000000046</c:v>
                </c:pt>
                <c:pt idx="74">
                  <c:v>-0.76000000000000023</c:v>
                </c:pt>
                <c:pt idx="75">
                  <c:v>-0.69</c:v>
                </c:pt>
                <c:pt idx="76">
                  <c:v>-0.55999999999999961</c:v>
                </c:pt>
                <c:pt idx="77">
                  <c:v>-0.53000000000000025</c:v>
                </c:pt>
                <c:pt idx="78">
                  <c:v>-0.69000000000000039</c:v>
                </c:pt>
                <c:pt idx="79">
                  <c:v>-0.72999999999999954</c:v>
                </c:pt>
                <c:pt idx="80">
                  <c:v>-0.6599999999999997</c:v>
                </c:pt>
                <c:pt idx="81">
                  <c:v>-0.67000000000000037</c:v>
                </c:pt>
                <c:pt idx="82">
                  <c:v>-0.77</c:v>
                </c:pt>
                <c:pt idx="83">
                  <c:v>-0.75999999999999979</c:v>
                </c:pt>
                <c:pt idx="84">
                  <c:v>-0.7799999999999998</c:v>
                </c:pt>
                <c:pt idx="85">
                  <c:v>-0.83000000000000007</c:v>
                </c:pt>
                <c:pt idx="86">
                  <c:v>-0.89000000000000012</c:v>
                </c:pt>
                <c:pt idx="87">
                  <c:v>-0.89999999999999947</c:v>
                </c:pt>
                <c:pt idx="88">
                  <c:v>-0.41999999999999987</c:v>
                </c:pt>
                <c:pt idx="89">
                  <c:v>-0.37999999999999989</c:v>
                </c:pt>
                <c:pt idx="90">
                  <c:v>-0.57999999999999963</c:v>
                </c:pt>
                <c:pt idx="91">
                  <c:v>-0.58000000000000007</c:v>
                </c:pt>
                <c:pt idx="92">
                  <c:v>-0.56000000000000005</c:v>
                </c:pt>
                <c:pt idx="93">
                  <c:v>-0.60000000000000009</c:v>
                </c:pt>
                <c:pt idx="94">
                  <c:v>-0.60000000000000009</c:v>
                </c:pt>
                <c:pt idx="95">
                  <c:v>-0.48</c:v>
                </c:pt>
                <c:pt idx="96">
                  <c:v>-0.52</c:v>
                </c:pt>
                <c:pt idx="97">
                  <c:v>-0.58000000000000007</c:v>
                </c:pt>
                <c:pt idx="98">
                  <c:v>-0.74000000000000021</c:v>
                </c:pt>
                <c:pt idx="99">
                  <c:v>-0.81</c:v>
                </c:pt>
                <c:pt idx="100">
                  <c:v>-0.83999999999999986</c:v>
                </c:pt>
                <c:pt idx="101">
                  <c:v>-0.93000000000000016</c:v>
                </c:pt>
                <c:pt idx="102">
                  <c:v>-0.96999999999999975</c:v>
                </c:pt>
                <c:pt idx="103">
                  <c:v>-1.06</c:v>
                </c:pt>
                <c:pt idx="104">
                  <c:v>-0.88000000000000078</c:v>
                </c:pt>
                <c:pt idx="105">
                  <c:v>-0.91000000000000014</c:v>
                </c:pt>
                <c:pt idx="106">
                  <c:v>-0.98000000000000043</c:v>
                </c:pt>
                <c:pt idx="107">
                  <c:v>-0.91000000000000014</c:v>
                </c:pt>
                <c:pt idx="108">
                  <c:v>-0.73000000000000043</c:v>
                </c:pt>
                <c:pt idx="109">
                  <c:v>-0.72999999999999954</c:v>
                </c:pt>
                <c:pt idx="110">
                  <c:v>-0.66000000000000014</c:v>
                </c:pt>
                <c:pt idx="111">
                  <c:v>-0.78000000000000025</c:v>
                </c:pt>
                <c:pt idx="112">
                  <c:v>-0.69000000000000039</c:v>
                </c:pt>
                <c:pt idx="113">
                  <c:v>-0.72000000000000064</c:v>
                </c:pt>
                <c:pt idx="114">
                  <c:v>-0.6899999999999995</c:v>
                </c:pt>
                <c:pt idx="115">
                  <c:v>-0.65999999999999925</c:v>
                </c:pt>
                <c:pt idx="116">
                  <c:v>-0.44000000000000039</c:v>
                </c:pt>
                <c:pt idx="117">
                  <c:v>-0.29999999999999982</c:v>
                </c:pt>
                <c:pt idx="118">
                  <c:v>-0.41000000000000009</c:v>
                </c:pt>
                <c:pt idx="119">
                  <c:v>-0.1400000000000006</c:v>
                </c:pt>
                <c:pt idx="120">
                  <c:v>-0.15000000000000041</c:v>
                </c:pt>
                <c:pt idx="121">
                  <c:v>-0.25999999999999979</c:v>
                </c:pt>
                <c:pt idx="122">
                  <c:v>-0.42999999999999972</c:v>
                </c:pt>
                <c:pt idx="123">
                  <c:v>-0.4399999999999995</c:v>
                </c:pt>
                <c:pt idx="124">
                  <c:v>-0.45000000000000018</c:v>
                </c:pt>
                <c:pt idx="125">
                  <c:v>-0.33999999999999991</c:v>
                </c:pt>
                <c:pt idx="126">
                  <c:v>-0.47999999999999948</c:v>
                </c:pt>
                <c:pt idx="127">
                  <c:v>-0.53000000000000025</c:v>
                </c:pt>
                <c:pt idx="128">
                  <c:v>-0.4099999999999997</c:v>
                </c:pt>
                <c:pt idx="129">
                  <c:v>-0.35000000000000048</c:v>
                </c:pt>
                <c:pt idx="130">
                  <c:v>-0.35000000000000048</c:v>
                </c:pt>
                <c:pt idx="131">
                  <c:v>-0.17999999999999969</c:v>
                </c:pt>
                <c:pt idx="132">
                  <c:v>-0.2399999999999993</c:v>
                </c:pt>
                <c:pt idx="133">
                  <c:v>-0.1899999999999995</c:v>
                </c:pt>
                <c:pt idx="134">
                  <c:v>-0.33000000000000013</c:v>
                </c:pt>
                <c:pt idx="135">
                  <c:v>-0.3100000000000005</c:v>
                </c:pt>
                <c:pt idx="136">
                  <c:v>-0.33999999999999991</c:v>
                </c:pt>
                <c:pt idx="137">
                  <c:v>-0.41000000000000009</c:v>
                </c:pt>
                <c:pt idx="138">
                  <c:v>-0.34999999999999959</c:v>
                </c:pt>
                <c:pt idx="139">
                  <c:v>-0.39000000000000062</c:v>
                </c:pt>
                <c:pt idx="140">
                  <c:v>-0.41000000000000009</c:v>
                </c:pt>
                <c:pt idx="141">
                  <c:v>-0.37000000000000011</c:v>
                </c:pt>
                <c:pt idx="142">
                  <c:v>-0.38999999999999968</c:v>
                </c:pt>
                <c:pt idx="143">
                  <c:v>-0.34000000000000069</c:v>
                </c:pt>
                <c:pt idx="144">
                  <c:v>-0.37999999999999989</c:v>
                </c:pt>
                <c:pt idx="145">
                  <c:v>-0.34999999999999959</c:v>
                </c:pt>
                <c:pt idx="146">
                  <c:v>-0.28999999999999998</c:v>
                </c:pt>
                <c:pt idx="147">
                  <c:v>-0.30999999999999961</c:v>
                </c:pt>
                <c:pt idx="148">
                  <c:v>-0.37000000000000011</c:v>
                </c:pt>
                <c:pt idx="149">
                  <c:v>-0.41000000000000009</c:v>
                </c:pt>
                <c:pt idx="150">
                  <c:v>-0.46999999999999981</c:v>
                </c:pt>
                <c:pt idx="151">
                  <c:v>-0.37999999999999989</c:v>
                </c:pt>
                <c:pt idx="152">
                  <c:v>-0.44000000000000039</c:v>
                </c:pt>
                <c:pt idx="153">
                  <c:v>-0.46999999999999981</c:v>
                </c:pt>
                <c:pt idx="154">
                  <c:v>-0.45000000000000018</c:v>
                </c:pt>
                <c:pt idx="155">
                  <c:v>-0.34999999999999959</c:v>
                </c:pt>
                <c:pt idx="156">
                  <c:v>-0.3199999999999994</c:v>
                </c:pt>
                <c:pt idx="157">
                  <c:v>-0.27000000000000052</c:v>
                </c:pt>
                <c:pt idx="158">
                  <c:v>-0.24000000000000021</c:v>
                </c:pt>
                <c:pt idx="159">
                  <c:v>-0.16000000000000009</c:v>
                </c:pt>
                <c:pt idx="160">
                  <c:v>-8.0000000000000071E-2</c:v>
                </c:pt>
                <c:pt idx="161">
                  <c:v>-0.1099999999999999</c:v>
                </c:pt>
                <c:pt idx="162">
                  <c:v>-0.16999999999999951</c:v>
                </c:pt>
                <c:pt idx="163">
                  <c:v>-8.9999999999999858E-2</c:v>
                </c:pt>
                <c:pt idx="164">
                  <c:v>0</c:v>
                </c:pt>
                <c:pt idx="165">
                  <c:v>6.0000000000000053E-2</c:v>
                </c:pt>
                <c:pt idx="166">
                  <c:v>9.0000000000000302E-2</c:v>
                </c:pt>
                <c:pt idx="167">
                  <c:v>0.18000000000000019</c:v>
                </c:pt>
                <c:pt idx="168">
                  <c:v>0.20000000000000021</c:v>
                </c:pt>
                <c:pt idx="169">
                  <c:v>4.9999999999999822E-2</c:v>
                </c:pt>
                <c:pt idx="170">
                  <c:v>0.12999999999999989</c:v>
                </c:pt>
                <c:pt idx="171">
                  <c:v>0.12999999999999989</c:v>
                </c:pt>
                <c:pt idx="172">
                  <c:v>0.13999999999999971</c:v>
                </c:pt>
                <c:pt idx="173">
                  <c:v>0.16000000000000009</c:v>
                </c:pt>
                <c:pt idx="174">
                  <c:v>4.0000000000000042E-2</c:v>
                </c:pt>
                <c:pt idx="175">
                  <c:v>0.12000000000000011</c:v>
                </c:pt>
                <c:pt idx="176">
                  <c:v>4.0000000000000042E-2</c:v>
                </c:pt>
                <c:pt idx="177">
                  <c:v>4.9999999999999822E-2</c:v>
                </c:pt>
                <c:pt idx="178">
                  <c:v>5.0000000000000711E-2</c:v>
                </c:pt>
                <c:pt idx="179">
                  <c:v>0.15000000000000041</c:v>
                </c:pt>
                <c:pt idx="180">
                  <c:v>0.21999999999999981</c:v>
                </c:pt>
                <c:pt idx="181">
                  <c:v>0.3100000000000005</c:v>
                </c:pt>
                <c:pt idx="182">
                  <c:v>0.3199999999999994</c:v>
                </c:pt>
                <c:pt idx="183">
                  <c:v>0.36999999999999922</c:v>
                </c:pt>
                <c:pt idx="184">
                  <c:v>0.34000000000000069</c:v>
                </c:pt>
                <c:pt idx="185">
                  <c:v>0.36000000000000032</c:v>
                </c:pt>
                <c:pt idx="186">
                  <c:v>0.36000000000000032</c:v>
                </c:pt>
                <c:pt idx="187">
                  <c:v>0.20000000000000021</c:v>
                </c:pt>
                <c:pt idx="188">
                  <c:v>0.21</c:v>
                </c:pt>
                <c:pt idx="189">
                  <c:v>0.22999999999999951</c:v>
                </c:pt>
                <c:pt idx="190">
                  <c:v>0.25</c:v>
                </c:pt>
                <c:pt idx="191">
                  <c:v>0.33000000000000013</c:v>
                </c:pt>
                <c:pt idx="192">
                  <c:v>0.28999999999999998</c:v>
                </c:pt>
                <c:pt idx="193">
                  <c:v>0.31000000000000011</c:v>
                </c:pt>
                <c:pt idx="194">
                  <c:v>0.37999999999999939</c:v>
                </c:pt>
                <c:pt idx="195">
                  <c:v>0.32999999999999963</c:v>
                </c:pt>
                <c:pt idx="196">
                  <c:v>0.52000000000000046</c:v>
                </c:pt>
                <c:pt idx="197">
                  <c:v>0.5299999999999998</c:v>
                </c:pt>
                <c:pt idx="198">
                  <c:v>0.54999999999999982</c:v>
                </c:pt>
                <c:pt idx="199">
                  <c:v>0.5</c:v>
                </c:pt>
                <c:pt idx="200">
                  <c:v>0.49000000000000021</c:v>
                </c:pt>
                <c:pt idx="201">
                  <c:v>0.44999999999999968</c:v>
                </c:pt>
                <c:pt idx="202">
                  <c:v>0.50999999999999979</c:v>
                </c:pt>
                <c:pt idx="203">
                  <c:v>0.52</c:v>
                </c:pt>
                <c:pt idx="204">
                  <c:v>0.46999999999999981</c:v>
                </c:pt>
                <c:pt idx="205">
                  <c:v>0.45000000000000018</c:v>
                </c:pt>
                <c:pt idx="206">
                  <c:v>0.48</c:v>
                </c:pt>
                <c:pt idx="207">
                  <c:v>0.56000000000000005</c:v>
                </c:pt>
                <c:pt idx="208">
                  <c:v>0.46999999999999981</c:v>
                </c:pt>
                <c:pt idx="209">
                  <c:v>0.5299999999999998</c:v>
                </c:pt>
                <c:pt idx="210">
                  <c:v>0.5600000000000005</c:v>
                </c:pt>
                <c:pt idx="211">
                  <c:v>0.49000000000000021</c:v>
                </c:pt>
                <c:pt idx="212">
                  <c:v>0.54000000000000048</c:v>
                </c:pt>
                <c:pt idx="213">
                  <c:v>0.50999999999999979</c:v>
                </c:pt>
                <c:pt idx="214">
                  <c:v>0.58000000000000007</c:v>
                </c:pt>
                <c:pt idx="215">
                  <c:v>0.57999999999999963</c:v>
                </c:pt>
                <c:pt idx="216">
                  <c:v>0.64000000000000057</c:v>
                </c:pt>
                <c:pt idx="217">
                  <c:v>0.58999999999999986</c:v>
                </c:pt>
                <c:pt idx="218">
                  <c:v>0.49999999999999961</c:v>
                </c:pt>
                <c:pt idx="219">
                  <c:v>0.56999999999999984</c:v>
                </c:pt>
                <c:pt idx="220">
                  <c:v>0.57000000000000028</c:v>
                </c:pt>
                <c:pt idx="221">
                  <c:v>0.54999999999999982</c:v>
                </c:pt>
                <c:pt idx="222">
                  <c:v>0.5299999999999998</c:v>
                </c:pt>
                <c:pt idx="223">
                  <c:v>0.55999999999999961</c:v>
                </c:pt>
                <c:pt idx="224">
                  <c:v>0.53999999999999959</c:v>
                </c:pt>
                <c:pt idx="225">
                  <c:v>0.51000000000000023</c:v>
                </c:pt>
                <c:pt idx="226">
                  <c:v>0.5600000000000005</c:v>
                </c:pt>
                <c:pt idx="227">
                  <c:v>0.51999999999999957</c:v>
                </c:pt>
                <c:pt idx="228">
                  <c:v>0.54999999999999982</c:v>
                </c:pt>
                <c:pt idx="229">
                  <c:v>0.54999999999999938</c:v>
                </c:pt>
                <c:pt idx="230">
                  <c:v>0.57999999999999963</c:v>
                </c:pt>
                <c:pt idx="231">
                  <c:v>0.67000000000000037</c:v>
                </c:pt>
                <c:pt idx="232">
                  <c:v>0.68000000000000016</c:v>
                </c:pt>
                <c:pt idx="233">
                  <c:v>0.67999999999999972</c:v>
                </c:pt>
                <c:pt idx="234">
                  <c:v>0.7200000000000002</c:v>
                </c:pt>
                <c:pt idx="235">
                  <c:v>0.63999999999999968</c:v>
                </c:pt>
                <c:pt idx="236">
                  <c:v>0.65000000000000036</c:v>
                </c:pt>
                <c:pt idx="237">
                  <c:v>0.64000000000000012</c:v>
                </c:pt>
                <c:pt idx="238">
                  <c:v>0.73999999999999977</c:v>
                </c:pt>
                <c:pt idx="239">
                  <c:v>0.71999999999999975</c:v>
                </c:pt>
                <c:pt idx="240">
                  <c:v>0.64000000000000012</c:v>
                </c:pt>
                <c:pt idx="241">
                  <c:v>0.60000000000000009</c:v>
                </c:pt>
                <c:pt idx="242">
                  <c:v>0.5900000000000003</c:v>
                </c:pt>
                <c:pt idx="243">
                  <c:v>0.5900000000000003</c:v>
                </c:pt>
                <c:pt idx="244">
                  <c:v>0.55000000000000027</c:v>
                </c:pt>
                <c:pt idx="245">
                  <c:v>0.50999999999999979</c:v>
                </c:pt>
                <c:pt idx="246">
                  <c:v>0.5600000000000005</c:v>
                </c:pt>
                <c:pt idx="247">
                  <c:v>0.50999999999999979</c:v>
                </c:pt>
                <c:pt idx="248">
                  <c:v>0.49999999999999961</c:v>
                </c:pt>
                <c:pt idx="249">
                  <c:v>0.54999999999999982</c:v>
                </c:pt>
                <c:pt idx="250">
                  <c:v>0.5299999999999998</c:v>
                </c:pt>
                <c:pt idx="251">
                  <c:v>0.50999999999999979</c:v>
                </c:pt>
                <c:pt idx="252">
                  <c:v>0.48</c:v>
                </c:pt>
                <c:pt idx="253">
                  <c:v>0.5</c:v>
                </c:pt>
                <c:pt idx="254">
                  <c:v>0.42999999999999972</c:v>
                </c:pt>
                <c:pt idx="255">
                  <c:v>0.4700000000000002</c:v>
                </c:pt>
                <c:pt idx="256">
                  <c:v>0.37999999999999989</c:v>
                </c:pt>
                <c:pt idx="257">
                  <c:v>0.39000000000000062</c:v>
                </c:pt>
                <c:pt idx="258">
                  <c:v>0.26999999999999957</c:v>
                </c:pt>
                <c:pt idx="259">
                  <c:v>0.3100000000000005</c:v>
                </c:pt>
              </c:numCache>
            </c:numRef>
          </c:val>
          <c:smooth val="0"/>
          <c:extLst>
            <c:ext xmlns:c16="http://schemas.microsoft.com/office/drawing/2014/chart" uri="{C3380CC4-5D6E-409C-BE32-E72D297353CC}">
              <c16:uniqueId val="{00000000-EB7C-4623-8C7A-BCC98318910B}"/>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EB7C-4623-8C7A-BCC98318910B}"/>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_DASH_DATA!$AF$2:$AF$261</c:f>
              <c:numCache>
                <c:formatCode>General</c:formatCode>
                <c:ptCount val="260"/>
                <c:pt idx="0">
                  <c:v>-0.91</c:v>
                </c:pt>
                <c:pt idx="1">
                  <c:v>-1.02</c:v>
                </c:pt>
                <c:pt idx="2">
                  <c:v>-1.05</c:v>
                </c:pt>
                <c:pt idx="3">
                  <c:v>-1.1599999999999999</c:v>
                </c:pt>
                <c:pt idx="4">
                  <c:v>-1.06</c:v>
                </c:pt>
                <c:pt idx="5">
                  <c:v>-1.08</c:v>
                </c:pt>
                <c:pt idx="6">
                  <c:v>-1.01</c:v>
                </c:pt>
                <c:pt idx="7">
                  <c:v>-1.08</c:v>
                </c:pt>
                <c:pt idx="8">
                  <c:v>-1.01</c:v>
                </c:pt>
                <c:pt idx="9">
                  <c:v>-1.05</c:v>
                </c:pt>
                <c:pt idx="10">
                  <c:v>-0.96</c:v>
                </c:pt>
                <c:pt idx="11">
                  <c:v>-0.87</c:v>
                </c:pt>
                <c:pt idx="12">
                  <c:v>-0.9</c:v>
                </c:pt>
                <c:pt idx="13">
                  <c:v>-0.89</c:v>
                </c:pt>
                <c:pt idx="14">
                  <c:v>-0.97</c:v>
                </c:pt>
                <c:pt idx="15">
                  <c:v>-0.98</c:v>
                </c:pt>
                <c:pt idx="16">
                  <c:v>-0.96</c:v>
                </c:pt>
                <c:pt idx="17">
                  <c:v>-1.0900000000000001</c:v>
                </c:pt>
                <c:pt idx="18">
                  <c:v>-1.1499999999999999</c:v>
                </c:pt>
                <c:pt idx="19">
                  <c:v>-1.1100000000000001</c:v>
                </c:pt>
                <c:pt idx="20">
                  <c:v>-1.07</c:v>
                </c:pt>
                <c:pt idx="21">
                  <c:v>-1.08</c:v>
                </c:pt>
                <c:pt idx="22">
                  <c:v>-0.96</c:v>
                </c:pt>
                <c:pt idx="23">
                  <c:v>-0.97</c:v>
                </c:pt>
                <c:pt idx="24">
                  <c:v>-0.97</c:v>
                </c:pt>
                <c:pt idx="25">
                  <c:v>-1.04</c:v>
                </c:pt>
                <c:pt idx="26">
                  <c:v>-0.72</c:v>
                </c:pt>
                <c:pt idx="27">
                  <c:v>-0.66</c:v>
                </c:pt>
                <c:pt idx="28">
                  <c:v>-0.59</c:v>
                </c:pt>
                <c:pt idx="29">
                  <c:v>-0.66</c:v>
                </c:pt>
                <c:pt idx="30">
                  <c:v>-0.48</c:v>
                </c:pt>
                <c:pt idx="31">
                  <c:v>-0.51</c:v>
                </c:pt>
                <c:pt idx="32">
                  <c:v>-0.49</c:v>
                </c:pt>
                <c:pt idx="33">
                  <c:v>-0.56999999999999995</c:v>
                </c:pt>
                <c:pt idx="34">
                  <c:v>-0.93</c:v>
                </c:pt>
                <c:pt idx="35">
                  <c:v>-0.94</c:v>
                </c:pt>
                <c:pt idx="36">
                  <c:v>-0.72</c:v>
                </c:pt>
                <c:pt idx="37">
                  <c:v>-0.47</c:v>
                </c:pt>
                <c:pt idx="38">
                  <c:v>-0.41</c:v>
                </c:pt>
                <c:pt idx="39">
                  <c:v>-0.15</c:v>
                </c:pt>
                <c:pt idx="40">
                  <c:v>-0.06</c:v>
                </c:pt>
                <c:pt idx="41">
                  <c:v>-0.08</c:v>
                </c:pt>
                <c:pt idx="42">
                  <c:v>0.01</c:v>
                </c:pt>
                <c:pt idx="43">
                  <c:v>0.26</c:v>
                </c:pt>
                <c:pt idx="44">
                  <c:v>0.24</c:v>
                </c:pt>
                <c:pt idx="45">
                  <c:v>0.23</c:v>
                </c:pt>
                <c:pt idx="46">
                  <c:v>0.11</c:v>
                </c:pt>
                <c:pt idx="47">
                  <c:v>0.22</c:v>
                </c:pt>
                <c:pt idx="48">
                  <c:v>0.39</c:v>
                </c:pt>
                <c:pt idx="49">
                  <c:v>0.67</c:v>
                </c:pt>
                <c:pt idx="50">
                  <c:v>0.56999999999999995</c:v>
                </c:pt>
                <c:pt idx="51">
                  <c:v>0.54</c:v>
                </c:pt>
                <c:pt idx="52">
                  <c:v>0.72</c:v>
                </c:pt>
                <c:pt idx="53">
                  <c:v>0.56999999999999995</c:v>
                </c:pt>
                <c:pt idx="54">
                  <c:v>0.43</c:v>
                </c:pt>
                <c:pt idx="55">
                  <c:v>0.14000000000000001</c:v>
                </c:pt>
                <c:pt idx="56">
                  <c:v>0.37</c:v>
                </c:pt>
                <c:pt idx="57">
                  <c:v>0.37</c:v>
                </c:pt>
                <c:pt idx="58">
                  <c:v>0.43</c:v>
                </c:pt>
                <c:pt idx="59">
                  <c:v>0.47</c:v>
                </c:pt>
                <c:pt idx="60">
                  <c:v>0.73</c:v>
                </c:pt>
                <c:pt idx="61">
                  <c:v>0.91</c:v>
                </c:pt>
                <c:pt idx="62">
                  <c:v>1.07</c:v>
                </c:pt>
                <c:pt idx="63">
                  <c:v>1.32</c:v>
                </c:pt>
                <c:pt idx="64">
                  <c:v>1.68</c:v>
                </c:pt>
                <c:pt idx="65">
                  <c:v>1.62</c:v>
                </c:pt>
                <c:pt idx="66">
                  <c:v>1.59</c:v>
                </c:pt>
                <c:pt idx="67">
                  <c:v>1.69</c:v>
                </c:pt>
                <c:pt idx="68">
                  <c:v>1.51</c:v>
                </c:pt>
                <c:pt idx="69">
                  <c:v>1.69</c:v>
                </c:pt>
                <c:pt idx="70">
                  <c:v>1.43</c:v>
                </c:pt>
                <c:pt idx="71">
                  <c:v>1.57</c:v>
                </c:pt>
                <c:pt idx="72">
                  <c:v>1.36</c:v>
                </c:pt>
                <c:pt idx="73">
                  <c:v>1.08</c:v>
                </c:pt>
                <c:pt idx="74">
                  <c:v>1.31</c:v>
                </c:pt>
                <c:pt idx="75">
                  <c:v>1.35</c:v>
                </c:pt>
                <c:pt idx="76">
                  <c:v>1.55</c:v>
                </c:pt>
                <c:pt idx="77">
                  <c:v>1.58</c:v>
                </c:pt>
                <c:pt idx="78">
                  <c:v>1.34</c:v>
                </c:pt>
                <c:pt idx="79">
                  <c:v>1.31</c:v>
                </c:pt>
                <c:pt idx="80">
                  <c:v>1.25</c:v>
                </c:pt>
                <c:pt idx="81">
                  <c:v>1.19</c:v>
                </c:pt>
                <c:pt idx="82">
                  <c:v>1.31</c:v>
                </c:pt>
                <c:pt idx="83">
                  <c:v>1.41</c:v>
                </c:pt>
                <c:pt idx="84">
                  <c:v>1.46</c:v>
                </c:pt>
                <c:pt idx="85">
                  <c:v>1.57</c:v>
                </c:pt>
                <c:pt idx="86">
                  <c:v>1.45</c:v>
                </c:pt>
                <c:pt idx="87">
                  <c:v>1.44</c:v>
                </c:pt>
                <c:pt idx="88">
                  <c:v>1.29</c:v>
                </c:pt>
                <c:pt idx="89">
                  <c:v>1.1599999999999999</c:v>
                </c:pt>
                <c:pt idx="90">
                  <c:v>1.1599999999999999</c:v>
                </c:pt>
                <c:pt idx="91">
                  <c:v>1.1399999999999999</c:v>
                </c:pt>
                <c:pt idx="92">
                  <c:v>1.22</c:v>
                </c:pt>
                <c:pt idx="93">
                  <c:v>1.29</c:v>
                </c:pt>
                <c:pt idx="94">
                  <c:v>1.26</c:v>
                </c:pt>
                <c:pt idx="95">
                  <c:v>1.23</c:v>
                </c:pt>
                <c:pt idx="96">
                  <c:v>1.28</c:v>
                </c:pt>
                <c:pt idx="97">
                  <c:v>1.46</c:v>
                </c:pt>
                <c:pt idx="98">
                  <c:v>1.57</c:v>
                </c:pt>
                <c:pt idx="99">
                  <c:v>1.51</c:v>
                </c:pt>
                <c:pt idx="100">
                  <c:v>1.55</c:v>
                </c:pt>
                <c:pt idx="101">
                  <c:v>1.55</c:v>
                </c:pt>
                <c:pt idx="102">
                  <c:v>1.53</c:v>
                </c:pt>
                <c:pt idx="103">
                  <c:v>1.59</c:v>
                </c:pt>
                <c:pt idx="104">
                  <c:v>1.79</c:v>
                </c:pt>
                <c:pt idx="105">
                  <c:v>1.59</c:v>
                </c:pt>
                <c:pt idx="106">
                  <c:v>1.49</c:v>
                </c:pt>
                <c:pt idx="107">
                  <c:v>1.58</c:v>
                </c:pt>
                <c:pt idx="108">
                  <c:v>1.67</c:v>
                </c:pt>
                <c:pt idx="109">
                  <c:v>1.8</c:v>
                </c:pt>
                <c:pt idx="110">
                  <c:v>1.94</c:v>
                </c:pt>
                <c:pt idx="111">
                  <c:v>1.92</c:v>
                </c:pt>
                <c:pt idx="112">
                  <c:v>1.92</c:v>
                </c:pt>
                <c:pt idx="113">
                  <c:v>1.93</c:v>
                </c:pt>
                <c:pt idx="114">
                  <c:v>1.98</c:v>
                </c:pt>
                <c:pt idx="115">
                  <c:v>2.0699999999999998</c:v>
                </c:pt>
                <c:pt idx="116">
                  <c:v>2.2400000000000002</c:v>
                </c:pt>
                <c:pt idx="117">
                  <c:v>2.4700000000000002</c:v>
                </c:pt>
                <c:pt idx="118">
                  <c:v>2.29</c:v>
                </c:pt>
                <c:pt idx="119">
                  <c:v>2.46</c:v>
                </c:pt>
                <c:pt idx="120">
                  <c:v>2.42</c:v>
                </c:pt>
                <c:pt idx="121">
                  <c:v>2.1800000000000002</c:v>
                </c:pt>
                <c:pt idx="122">
                  <c:v>2.29</c:v>
                </c:pt>
                <c:pt idx="123">
                  <c:v>2.16</c:v>
                </c:pt>
                <c:pt idx="124">
                  <c:v>2.21</c:v>
                </c:pt>
                <c:pt idx="125">
                  <c:v>2</c:v>
                </c:pt>
                <c:pt idx="126">
                  <c:v>2.02</c:v>
                </c:pt>
                <c:pt idx="127">
                  <c:v>1.69</c:v>
                </c:pt>
                <c:pt idx="128">
                  <c:v>1.71</c:v>
                </c:pt>
                <c:pt idx="129">
                  <c:v>1.72</c:v>
                </c:pt>
                <c:pt idx="130">
                  <c:v>1.83</c:v>
                </c:pt>
                <c:pt idx="131">
                  <c:v>1.69</c:v>
                </c:pt>
                <c:pt idx="132">
                  <c:v>1.81</c:v>
                </c:pt>
                <c:pt idx="133">
                  <c:v>1.85</c:v>
                </c:pt>
                <c:pt idx="134">
                  <c:v>1.82</c:v>
                </c:pt>
                <c:pt idx="135">
                  <c:v>1.92</c:v>
                </c:pt>
                <c:pt idx="136">
                  <c:v>1.97</c:v>
                </c:pt>
                <c:pt idx="137">
                  <c:v>1.96</c:v>
                </c:pt>
                <c:pt idx="138">
                  <c:v>1.87</c:v>
                </c:pt>
                <c:pt idx="139">
                  <c:v>1.81</c:v>
                </c:pt>
                <c:pt idx="140">
                  <c:v>1.99</c:v>
                </c:pt>
                <c:pt idx="141">
                  <c:v>1.87</c:v>
                </c:pt>
                <c:pt idx="142">
                  <c:v>1.88</c:v>
                </c:pt>
                <c:pt idx="143">
                  <c:v>2.02</c:v>
                </c:pt>
                <c:pt idx="144">
                  <c:v>2.11</c:v>
                </c:pt>
                <c:pt idx="145">
                  <c:v>2.21</c:v>
                </c:pt>
                <c:pt idx="146">
                  <c:v>2.2400000000000002</c:v>
                </c:pt>
                <c:pt idx="147">
                  <c:v>2.15</c:v>
                </c:pt>
                <c:pt idx="148">
                  <c:v>2.16</c:v>
                </c:pt>
                <c:pt idx="149">
                  <c:v>2.1</c:v>
                </c:pt>
                <c:pt idx="150">
                  <c:v>2.14</c:v>
                </c:pt>
                <c:pt idx="151">
                  <c:v>2.16</c:v>
                </c:pt>
                <c:pt idx="152">
                  <c:v>2.13</c:v>
                </c:pt>
                <c:pt idx="153">
                  <c:v>2.0299999999999998</c:v>
                </c:pt>
                <c:pt idx="154">
                  <c:v>2.02</c:v>
                </c:pt>
                <c:pt idx="155">
                  <c:v>2.08</c:v>
                </c:pt>
                <c:pt idx="156">
                  <c:v>2</c:v>
                </c:pt>
                <c:pt idx="157">
                  <c:v>1.94</c:v>
                </c:pt>
                <c:pt idx="158">
                  <c:v>1.93</c:v>
                </c:pt>
                <c:pt idx="159">
                  <c:v>1.93</c:v>
                </c:pt>
                <c:pt idx="160">
                  <c:v>1.76</c:v>
                </c:pt>
                <c:pt idx="161">
                  <c:v>1.84</c:v>
                </c:pt>
                <c:pt idx="162">
                  <c:v>1.81</c:v>
                </c:pt>
                <c:pt idx="163">
                  <c:v>1.68</c:v>
                </c:pt>
                <c:pt idx="164">
                  <c:v>1.76</c:v>
                </c:pt>
                <c:pt idx="165">
                  <c:v>1.69</c:v>
                </c:pt>
                <c:pt idx="166">
                  <c:v>1.58</c:v>
                </c:pt>
                <c:pt idx="167">
                  <c:v>1.58</c:v>
                </c:pt>
                <c:pt idx="168">
                  <c:v>1.6</c:v>
                </c:pt>
                <c:pt idx="169">
                  <c:v>1.75</c:v>
                </c:pt>
                <c:pt idx="170">
                  <c:v>1.75</c:v>
                </c:pt>
                <c:pt idx="171">
                  <c:v>1.77</c:v>
                </c:pt>
                <c:pt idx="172">
                  <c:v>1.96</c:v>
                </c:pt>
                <c:pt idx="173">
                  <c:v>2.04</c:v>
                </c:pt>
                <c:pt idx="174">
                  <c:v>1.95</c:v>
                </c:pt>
                <c:pt idx="175">
                  <c:v>2.1</c:v>
                </c:pt>
                <c:pt idx="176">
                  <c:v>2.0699999999999998</c:v>
                </c:pt>
                <c:pt idx="177">
                  <c:v>1.92</c:v>
                </c:pt>
                <c:pt idx="178">
                  <c:v>1.91</c:v>
                </c:pt>
                <c:pt idx="179">
                  <c:v>2.0699999999999998</c:v>
                </c:pt>
                <c:pt idx="180">
                  <c:v>2.23</c:v>
                </c:pt>
                <c:pt idx="181">
                  <c:v>2.2799999999999998</c:v>
                </c:pt>
                <c:pt idx="182">
                  <c:v>2.2599999999999998</c:v>
                </c:pt>
                <c:pt idx="183">
                  <c:v>2.34</c:v>
                </c:pt>
                <c:pt idx="184">
                  <c:v>2.2000000000000002</c:v>
                </c:pt>
                <c:pt idx="185">
                  <c:v>2.2000000000000002</c:v>
                </c:pt>
                <c:pt idx="186">
                  <c:v>2.16</c:v>
                </c:pt>
                <c:pt idx="187">
                  <c:v>2.0699999999999998</c:v>
                </c:pt>
                <c:pt idx="188">
                  <c:v>2.04</c:v>
                </c:pt>
                <c:pt idx="189">
                  <c:v>2</c:v>
                </c:pt>
                <c:pt idx="190">
                  <c:v>1.86</c:v>
                </c:pt>
                <c:pt idx="191">
                  <c:v>1.99</c:v>
                </c:pt>
                <c:pt idx="192">
                  <c:v>2.0099999999999998</c:v>
                </c:pt>
                <c:pt idx="193">
                  <c:v>1.92</c:v>
                </c:pt>
                <c:pt idx="194">
                  <c:v>1.9</c:v>
                </c:pt>
                <c:pt idx="195">
                  <c:v>1.83</c:v>
                </c:pt>
                <c:pt idx="196">
                  <c:v>2.2799999999999998</c:v>
                </c:pt>
                <c:pt idx="197">
                  <c:v>2.11</c:v>
                </c:pt>
                <c:pt idx="198">
                  <c:v>2.02</c:v>
                </c:pt>
                <c:pt idx="199">
                  <c:v>2.06</c:v>
                </c:pt>
                <c:pt idx="200">
                  <c:v>2.08</c:v>
                </c:pt>
                <c:pt idx="201">
                  <c:v>2.09</c:v>
                </c:pt>
                <c:pt idx="202">
                  <c:v>2.1800000000000002</c:v>
                </c:pt>
                <c:pt idx="203">
                  <c:v>2.0699999999999998</c:v>
                </c:pt>
                <c:pt idx="204">
                  <c:v>2.2000000000000002</c:v>
                </c:pt>
                <c:pt idx="205">
                  <c:v>2.13</c:v>
                </c:pt>
                <c:pt idx="206">
                  <c:v>2.0499999999999998</c:v>
                </c:pt>
                <c:pt idx="207">
                  <c:v>2</c:v>
                </c:pt>
                <c:pt idx="208">
                  <c:v>2.02</c:v>
                </c:pt>
                <c:pt idx="209">
                  <c:v>2.06</c:v>
                </c:pt>
                <c:pt idx="210">
                  <c:v>2.0299999999999998</c:v>
                </c:pt>
                <c:pt idx="211">
                  <c:v>1.96</c:v>
                </c:pt>
                <c:pt idx="212">
                  <c:v>1.9</c:v>
                </c:pt>
                <c:pt idx="213">
                  <c:v>1.88</c:v>
                </c:pt>
                <c:pt idx="214">
                  <c:v>1.95</c:v>
                </c:pt>
                <c:pt idx="215">
                  <c:v>1.85</c:v>
                </c:pt>
                <c:pt idx="216">
                  <c:v>1.82</c:v>
                </c:pt>
                <c:pt idx="217">
                  <c:v>1.73</c:v>
                </c:pt>
                <c:pt idx="218">
                  <c:v>1.7</c:v>
                </c:pt>
                <c:pt idx="219">
                  <c:v>1.75</c:v>
                </c:pt>
                <c:pt idx="220">
                  <c:v>1.82</c:v>
                </c:pt>
                <c:pt idx="221">
                  <c:v>1.8</c:v>
                </c:pt>
                <c:pt idx="222">
                  <c:v>1.75</c:v>
                </c:pt>
                <c:pt idx="223">
                  <c:v>1.75</c:v>
                </c:pt>
                <c:pt idx="224">
                  <c:v>1.73</c:v>
                </c:pt>
                <c:pt idx="225">
                  <c:v>1.81</c:v>
                </c:pt>
                <c:pt idx="226">
                  <c:v>1.83</c:v>
                </c:pt>
                <c:pt idx="227">
                  <c:v>1.86</c:v>
                </c:pt>
                <c:pt idx="228">
                  <c:v>1.82</c:v>
                </c:pt>
                <c:pt idx="229">
                  <c:v>1.79</c:v>
                </c:pt>
                <c:pt idx="230">
                  <c:v>1.88</c:v>
                </c:pt>
                <c:pt idx="231">
                  <c:v>1.93</c:v>
                </c:pt>
                <c:pt idx="232">
                  <c:v>1.92</c:v>
                </c:pt>
                <c:pt idx="233">
                  <c:v>1.91</c:v>
                </c:pt>
                <c:pt idx="234">
                  <c:v>1.94</c:v>
                </c:pt>
                <c:pt idx="235">
                  <c:v>1.9</c:v>
                </c:pt>
                <c:pt idx="236">
                  <c:v>1.91</c:v>
                </c:pt>
                <c:pt idx="237">
                  <c:v>1.92</c:v>
                </c:pt>
                <c:pt idx="238">
                  <c:v>1.9</c:v>
                </c:pt>
                <c:pt idx="239">
                  <c:v>1.88</c:v>
                </c:pt>
                <c:pt idx="240">
                  <c:v>1.77</c:v>
                </c:pt>
                <c:pt idx="241">
                  <c:v>1.8</c:v>
                </c:pt>
                <c:pt idx="242">
                  <c:v>1.72</c:v>
                </c:pt>
                <c:pt idx="243">
                  <c:v>1.8</c:v>
                </c:pt>
                <c:pt idx="244">
                  <c:v>1.92</c:v>
                </c:pt>
                <c:pt idx="245">
                  <c:v>2.0099999999999998</c:v>
                </c:pt>
                <c:pt idx="246">
                  <c:v>2.13</c:v>
                </c:pt>
                <c:pt idx="247">
                  <c:v>1.99</c:v>
                </c:pt>
                <c:pt idx="248">
                  <c:v>1.95</c:v>
                </c:pt>
                <c:pt idx="249">
                  <c:v>1.9</c:v>
                </c:pt>
                <c:pt idx="250">
                  <c:v>1.89</c:v>
                </c:pt>
                <c:pt idx="251">
                  <c:v>1.91</c:v>
                </c:pt>
                <c:pt idx="252">
                  <c:v>1.93</c:v>
                </c:pt>
                <c:pt idx="253">
                  <c:v>2.1</c:v>
                </c:pt>
                <c:pt idx="254">
                  <c:v>2.16</c:v>
                </c:pt>
                <c:pt idx="255">
                  <c:v>2.0699999999999998</c:v>
                </c:pt>
                <c:pt idx="256">
                  <c:v>2.19</c:v>
                </c:pt>
                <c:pt idx="257">
                  <c:v>2.17</c:v>
                </c:pt>
                <c:pt idx="258">
                  <c:v>2.21</c:v>
                </c:pt>
                <c:pt idx="259">
                  <c:v>2.19</c:v>
                </c:pt>
              </c:numCache>
            </c:numRef>
          </c:val>
          <c:smooth val="0"/>
          <c:extLst>
            <c:ext xmlns:c16="http://schemas.microsoft.com/office/drawing/2014/chart" uri="{C3380CC4-5D6E-409C-BE32-E72D297353CC}">
              <c16:uniqueId val="{00000000-273D-48AB-A975-8FE7F45080DB}"/>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-0.77399999999999991</c:v>
                </c:pt>
                <c:pt idx="27">
                  <c:v>-0.76200000000000001</c:v>
                </c:pt>
                <c:pt idx="28">
                  <c:v>-0.76</c:v>
                </c:pt>
                <c:pt idx="29">
                  <c:v>-0.72799999999999976</c:v>
                </c:pt>
                <c:pt idx="30">
                  <c:v>-0.71199999999999997</c:v>
                </c:pt>
                <c:pt idx="31">
                  <c:v>-0.67799999999999983</c:v>
                </c:pt>
                <c:pt idx="32">
                  <c:v>-0.66200000000000003</c:v>
                </c:pt>
                <c:pt idx="33">
                  <c:v>-0.66</c:v>
                </c:pt>
                <c:pt idx="34">
                  <c:v>-0.66200000000000003</c:v>
                </c:pt>
                <c:pt idx="35">
                  <c:v>-0.67999999999999983</c:v>
                </c:pt>
                <c:pt idx="36">
                  <c:v>-0.72</c:v>
                </c:pt>
                <c:pt idx="37">
                  <c:v>-0.72</c:v>
                </c:pt>
                <c:pt idx="38">
                  <c:v>-0.72</c:v>
                </c:pt>
                <c:pt idx="39">
                  <c:v>-0.72</c:v>
                </c:pt>
                <c:pt idx="40">
                  <c:v>-0.67199999999999971</c:v>
                </c:pt>
                <c:pt idx="41">
                  <c:v>-0.66</c:v>
                </c:pt>
                <c:pt idx="42">
                  <c:v>-0.60399999999999965</c:v>
                </c:pt>
                <c:pt idx="43">
                  <c:v>-0.57399999999999984</c:v>
                </c:pt>
                <c:pt idx="44">
                  <c:v>-0.5219999999999998</c:v>
                </c:pt>
                <c:pt idx="45">
                  <c:v>-0.49399999999999988</c:v>
                </c:pt>
                <c:pt idx="46">
                  <c:v>-0.48199999999999987</c:v>
                </c:pt>
                <c:pt idx="47">
                  <c:v>-0.47199999999999992</c:v>
                </c:pt>
                <c:pt idx="48">
                  <c:v>-0.42199999999999971</c:v>
                </c:pt>
                <c:pt idx="49">
                  <c:v>-0.20199999999999879</c:v>
                </c:pt>
                <c:pt idx="50">
                  <c:v>-9.3999999999999695E-2</c:v>
                </c:pt>
                <c:pt idx="51">
                  <c:v>-6.3999999999999918E-2</c:v>
                </c:pt>
                <c:pt idx="52">
                  <c:v>-3.9999999999997052E-3</c:v>
                </c:pt>
                <c:pt idx="53">
                  <c:v>9.0000000000000427E-2</c:v>
                </c:pt>
                <c:pt idx="54">
                  <c:v>0.19800000000000051</c:v>
                </c:pt>
                <c:pt idx="55">
                  <c:v>0.20400000000000029</c:v>
                </c:pt>
                <c:pt idx="56">
                  <c:v>0.22800000000000009</c:v>
                </c:pt>
                <c:pt idx="57">
                  <c:v>0.23799999999999999</c:v>
                </c:pt>
                <c:pt idx="58">
                  <c:v>0.25600000000000012</c:v>
                </c:pt>
                <c:pt idx="59">
                  <c:v>0.34800000000000048</c:v>
                </c:pt>
                <c:pt idx="60">
                  <c:v>0.37</c:v>
                </c:pt>
                <c:pt idx="61">
                  <c:v>0.38600000000000012</c:v>
                </c:pt>
                <c:pt idx="62">
                  <c:v>0.42200000000000021</c:v>
                </c:pt>
                <c:pt idx="63">
                  <c:v>0.43</c:v>
                </c:pt>
                <c:pt idx="64">
                  <c:v>0.46200000000000008</c:v>
                </c:pt>
                <c:pt idx="65">
                  <c:v>0.52600000000000036</c:v>
                </c:pt>
                <c:pt idx="66">
                  <c:v>0.56400000000000006</c:v>
                </c:pt>
                <c:pt idx="67">
                  <c:v>0.56999999999999995</c:v>
                </c:pt>
                <c:pt idx="68">
                  <c:v>0.65000000000000047</c:v>
                </c:pt>
                <c:pt idx="69">
                  <c:v>0.71000000000000019</c:v>
                </c:pt>
                <c:pt idx="70">
                  <c:v>0.72799999999999998</c:v>
                </c:pt>
                <c:pt idx="71">
                  <c:v>0.87400000000000078</c:v>
                </c:pt>
                <c:pt idx="72">
                  <c:v>1.0380000000000009</c:v>
                </c:pt>
                <c:pt idx="73">
                  <c:v>1.0780000000000001</c:v>
                </c:pt>
                <c:pt idx="74">
                  <c:v>1.2640000000000009</c:v>
                </c:pt>
                <c:pt idx="75">
                  <c:v>1.3180000000000001</c:v>
                </c:pt>
                <c:pt idx="76">
                  <c:v>1.3440000000000001</c:v>
                </c:pt>
                <c:pt idx="77">
                  <c:v>1.3580000000000001</c:v>
                </c:pt>
                <c:pt idx="78">
                  <c:v>1.3580000000000001</c:v>
                </c:pt>
                <c:pt idx="79">
                  <c:v>1.3580000000000001</c:v>
                </c:pt>
                <c:pt idx="80">
                  <c:v>1.3580000000000001</c:v>
                </c:pt>
                <c:pt idx="81">
                  <c:v>1.3580000000000001</c:v>
                </c:pt>
                <c:pt idx="82">
                  <c:v>1.3580000000000001</c:v>
                </c:pt>
                <c:pt idx="83">
                  <c:v>1.4</c:v>
                </c:pt>
                <c:pt idx="84">
                  <c:v>1.4259999999999999</c:v>
                </c:pt>
                <c:pt idx="85">
                  <c:v>1.454</c:v>
                </c:pt>
                <c:pt idx="86">
                  <c:v>1.458</c:v>
                </c:pt>
                <c:pt idx="87">
                  <c:v>1.458</c:v>
                </c:pt>
                <c:pt idx="88">
                  <c:v>1.458</c:v>
                </c:pt>
                <c:pt idx="89">
                  <c:v>1.458</c:v>
                </c:pt>
                <c:pt idx="90">
                  <c:v>1.458</c:v>
                </c:pt>
                <c:pt idx="91">
                  <c:v>1.458</c:v>
                </c:pt>
                <c:pt idx="92">
                  <c:v>1.458</c:v>
                </c:pt>
                <c:pt idx="93">
                  <c:v>1.458</c:v>
                </c:pt>
                <c:pt idx="94">
                  <c:v>1.458</c:v>
                </c:pt>
                <c:pt idx="95">
                  <c:v>1.458</c:v>
                </c:pt>
                <c:pt idx="96">
                  <c:v>1.458</c:v>
                </c:pt>
                <c:pt idx="97">
                  <c:v>1.46</c:v>
                </c:pt>
                <c:pt idx="98">
                  <c:v>1.5</c:v>
                </c:pt>
                <c:pt idx="99">
                  <c:v>1.51</c:v>
                </c:pt>
                <c:pt idx="100">
                  <c:v>1.542</c:v>
                </c:pt>
                <c:pt idx="101">
                  <c:v>1.55</c:v>
                </c:pt>
                <c:pt idx="102">
                  <c:v>1.55</c:v>
                </c:pt>
                <c:pt idx="103">
                  <c:v>1.55</c:v>
                </c:pt>
                <c:pt idx="104">
                  <c:v>1.5660000000000001</c:v>
                </c:pt>
                <c:pt idx="105">
                  <c:v>1.57</c:v>
                </c:pt>
                <c:pt idx="106">
                  <c:v>1.57</c:v>
                </c:pt>
                <c:pt idx="107">
                  <c:v>1.57</c:v>
                </c:pt>
                <c:pt idx="108">
                  <c:v>1.5780000000000001</c:v>
                </c:pt>
                <c:pt idx="109">
                  <c:v>1.58</c:v>
                </c:pt>
                <c:pt idx="110">
                  <c:v>1.5880000000000001</c:v>
                </c:pt>
                <c:pt idx="111">
                  <c:v>1.59</c:v>
                </c:pt>
                <c:pt idx="112">
                  <c:v>1.59</c:v>
                </c:pt>
                <c:pt idx="113">
                  <c:v>1.6140000000000001</c:v>
                </c:pt>
                <c:pt idx="114">
                  <c:v>1.66</c:v>
                </c:pt>
                <c:pt idx="115">
                  <c:v>1.6779999999999999</c:v>
                </c:pt>
                <c:pt idx="116">
                  <c:v>1.6859999999999999</c:v>
                </c:pt>
                <c:pt idx="117">
                  <c:v>1.69</c:v>
                </c:pt>
                <c:pt idx="118">
                  <c:v>1.77</c:v>
                </c:pt>
                <c:pt idx="119">
                  <c:v>1.798</c:v>
                </c:pt>
                <c:pt idx="120">
                  <c:v>1.8959999999999999</c:v>
                </c:pt>
                <c:pt idx="121">
                  <c:v>1.92</c:v>
                </c:pt>
                <c:pt idx="122">
                  <c:v>1.9279999999999999</c:v>
                </c:pt>
                <c:pt idx="123">
                  <c:v>1.9379999999999999</c:v>
                </c:pt>
                <c:pt idx="124">
                  <c:v>1.972</c:v>
                </c:pt>
                <c:pt idx="125">
                  <c:v>1.996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2.02</c:v>
                </c:pt>
                <c:pt idx="144">
                  <c:v>2.06</c:v>
                </c:pt>
                <c:pt idx="145">
                  <c:v>2.1019999999999999</c:v>
                </c:pt>
                <c:pt idx="146">
                  <c:v>2.15</c:v>
                </c:pt>
                <c:pt idx="147">
                  <c:v>2.1579999999999999</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2.1579999999999999</c:v>
                </c:pt>
                <c:pt idx="170">
                  <c:v>2.1480000000000001</c:v>
                </c:pt>
                <c:pt idx="171">
                  <c:v>2.1379999999999999</c:v>
                </c:pt>
                <c:pt idx="172">
                  <c:v>2.1259999999999999</c:v>
                </c:pt>
                <c:pt idx="173">
                  <c:v>2.1080000000000001</c:v>
                </c:pt>
                <c:pt idx="174">
                  <c:v>2.0960000000000001</c:v>
                </c:pt>
                <c:pt idx="175">
                  <c:v>2.0960000000000001</c:v>
                </c:pt>
                <c:pt idx="176">
                  <c:v>2.0779999999999998</c:v>
                </c:pt>
                <c:pt idx="177">
                  <c:v>2.0779999999999998</c:v>
                </c:pt>
                <c:pt idx="178">
                  <c:v>2.0779999999999998</c:v>
                </c:pt>
                <c:pt idx="179">
                  <c:v>2.0779999999999998</c:v>
                </c:pt>
                <c:pt idx="180">
                  <c:v>2.0960000000000001</c:v>
                </c:pt>
                <c:pt idx="181">
                  <c:v>2.1</c:v>
                </c:pt>
                <c:pt idx="182">
                  <c:v>2.1080000000000001</c:v>
                </c:pt>
                <c:pt idx="183">
                  <c:v>2.1259999999999999</c:v>
                </c:pt>
                <c:pt idx="184">
                  <c:v>2.1379999999999999</c:v>
                </c:pt>
                <c:pt idx="185">
                  <c:v>2.1480000000000001</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2.16</c:v>
                </c:pt>
                <c:pt idx="197">
                  <c:v>2.1579999999999999</c:v>
                </c:pt>
                <c:pt idx="198">
                  <c:v>2.1480000000000001</c:v>
                </c:pt>
                <c:pt idx="199">
                  <c:v>2.1379999999999999</c:v>
                </c:pt>
                <c:pt idx="200">
                  <c:v>2.1259999999999999</c:v>
                </c:pt>
                <c:pt idx="201">
                  <c:v>2.1259999999999999</c:v>
                </c:pt>
                <c:pt idx="202">
                  <c:v>2.1259999999999999</c:v>
                </c:pt>
                <c:pt idx="203">
                  <c:v>2.1080000000000001</c:v>
                </c:pt>
                <c:pt idx="204">
                  <c:v>2.1080000000000001</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2.1059999999999999</c:v>
                </c:pt>
                <c:pt idx="233">
                  <c:v>2.0880000000000001</c:v>
                </c:pt>
                <c:pt idx="234">
                  <c:v>2.0779999999999998</c:v>
                </c:pt>
                <c:pt idx="235">
                  <c:v>2.0699999999999998</c:v>
                </c:pt>
                <c:pt idx="236">
                  <c:v>2.0680000000000001</c:v>
                </c:pt>
                <c:pt idx="237">
                  <c:v>2.06</c:v>
                </c:pt>
                <c:pt idx="238">
                  <c:v>2.0579999999999998</c:v>
                </c:pt>
                <c:pt idx="239">
                  <c:v>2.048</c:v>
                </c:pt>
                <c:pt idx="240">
                  <c:v>2.0459999999999998</c:v>
                </c:pt>
                <c:pt idx="241">
                  <c:v>2.0459999999999998</c:v>
                </c:pt>
                <c:pt idx="242">
                  <c:v>2.0459999999999998</c:v>
                </c:pt>
                <c:pt idx="243">
                  <c:v>2.0459999999999998</c:v>
                </c:pt>
                <c:pt idx="244">
                  <c:v>2.0459999999999998</c:v>
                </c:pt>
                <c:pt idx="245">
                  <c:v>2.0459999999999998</c:v>
                </c:pt>
                <c:pt idx="246">
                  <c:v>2.0579999999999998</c:v>
                </c:pt>
                <c:pt idx="247">
                  <c:v>2.0579999999999998</c:v>
                </c:pt>
                <c:pt idx="248">
                  <c:v>2.0459999999999998</c:v>
                </c:pt>
                <c:pt idx="249">
                  <c:v>2.028</c:v>
                </c:pt>
                <c:pt idx="250">
                  <c:v>2.028</c:v>
                </c:pt>
                <c:pt idx="251">
                  <c:v>2.0179999999999998</c:v>
                </c:pt>
                <c:pt idx="252">
                  <c:v>2.008</c:v>
                </c:pt>
                <c:pt idx="253">
                  <c:v>2.008</c:v>
                </c:pt>
                <c:pt idx="254">
                  <c:v>2.008</c:v>
                </c:pt>
                <c:pt idx="255">
                  <c:v>2.008</c:v>
                </c:pt>
                <c:pt idx="256">
                  <c:v>2.008</c:v>
                </c:pt>
                <c:pt idx="257">
                  <c:v>2.008</c:v>
                </c:pt>
                <c:pt idx="258">
                  <c:v>2.008</c:v>
                </c:pt>
                <c:pt idx="259">
                  <c:v>2.0179999999999998</c:v>
                </c:pt>
              </c:numCache>
            </c:numRef>
          </c:val>
          <c:smooth val="0"/>
          <c:extLst>
            <c:ext xmlns:c16="http://schemas.microsoft.com/office/drawing/2014/chart" uri="{C3380CC4-5D6E-409C-BE32-E72D297353CC}">
              <c16:uniqueId val="{00000001-273D-48AB-A975-8FE7F45080DB}"/>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_DASH_DATA!$AH$2:$AH$261</c:f>
              <c:numCache>
                <c:formatCode>General</c:formatCode>
                <c:ptCount val="260"/>
                <c:pt idx="0">
                  <c:v>-0.99</c:v>
                </c:pt>
                <c:pt idx="1">
                  <c:v>-0.998</c:v>
                </c:pt>
                <c:pt idx="2">
                  <c:v>-1</c:v>
                </c:pt>
                <c:pt idx="3">
                  <c:v>-1</c:v>
                </c:pt>
                <c:pt idx="4">
                  <c:v>-1</c:v>
                </c:pt>
                <c:pt idx="5">
                  <c:v>-1.008</c:v>
                </c:pt>
                <c:pt idx="6">
                  <c:v>-1.01</c:v>
                </c:pt>
                <c:pt idx="7">
                  <c:v>-1.01</c:v>
                </c:pt>
                <c:pt idx="8">
                  <c:v>-1.01</c:v>
                </c:pt>
                <c:pt idx="9">
                  <c:v>-1.018</c:v>
                </c:pt>
                <c:pt idx="10">
                  <c:v>-1.018</c:v>
                </c:pt>
                <c:pt idx="11">
                  <c:v>-1.018</c:v>
                </c:pt>
                <c:pt idx="12">
                  <c:v>-1.018</c:v>
                </c:pt>
                <c:pt idx="13">
                  <c:v>-1.018</c:v>
                </c:pt>
                <c:pt idx="14">
                  <c:v>-1.018</c:v>
                </c:pt>
                <c:pt idx="15">
                  <c:v>-1.018</c:v>
                </c:pt>
                <c:pt idx="16">
                  <c:v>-1.018</c:v>
                </c:pt>
                <c:pt idx="17">
                  <c:v>-1.02</c:v>
                </c:pt>
                <c:pt idx="18">
                  <c:v>-1.02</c:v>
                </c:pt>
                <c:pt idx="19">
                  <c:v>-1.028</c:v>
                </c:pt>
                <c:pt idx="20">
                  <c:v>-1.046</c:v>
                </c:pt>
                <c:pt idx="21">
                  <c:v>-1.05</c:v>
                </c:pt>
                <c:pt idx="22">
                  <c:v>-1.05</c:v>
                </c:pt>
                <c:pt idx="23">
                  <c:v>-1.05</c:v>
                </c:pt>
                <c:pt idx="24">
                  <c:v>-1.05</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-1.034</c:v>
                </c:pt>
                <c:pt idx="55">
                  <c:v>-1.01</c:v>
                </c:pt>
                <c:pt idx="56">
                  <c:v>-1.004</c:v>
                </c:pt>
                <c:pt idx="57">
                  <c:v>-0.97799999999999998</c:v>
                </c:pt>
                <c:pt idx="58">
                  <c:v>-0.97</c:v>
                </c:pt>
                <c:pt idx="59">
                  <c:v>-0.97</c:v>
                </c:pt>
                <c:pt idx="60">
                  <c:v>-0.96799999999999997</c:v>
                </c:pt>
                <c:pt idx="61">
                  <c:v>-0.96</c:v>
                </c:pt>
                <c:pt idx="62">
                  <c:v>-0.96</c:v>
                </c:pt>
                <c:pt idx="63">
                  <c:v>-0.96</c:v>
                </c:pt>
                <c:pt idx="64">
                  <c:v>-0.96</c:v>
                </c:pt>
                <c:pt idx="65">
                  <c:v>-0.96</c:v>
                </c:pt>
                <c:pt idx="66">
                  <c:v>-0.95599999999999996</c:v>
                </c:pt>
                <c:pt idx="67">
                  <c:v>-0.93799999999999994</c:v>
                </c:pt>
                <c:pt idx="68">
                  <c:v>-0.88799999999999979</c:v>
                </c:pt>
                <c:pt idx="69">
                  <c:v>-0.72</c:v>
                </c:pt>
                <c:pt idx="70">
                  <c:v>-0.70799999999999996</c:v>
                </c:pt>
                <c:pt idx="71">
                  <c:v>-0.66</c:v>
                </c:pt>
                <c:pt idx="72">
                  <c:v>-0.64599999999999991</c:v>
                </c:pt>
                <c:pt idx="73">
                  <c:v>-0.58599999999999997</c:v>
                </c:pt>
                <c:pt idx="74">
                  <c:v>-0.55799999999999994</c:v>
                </c:pt>
                <c:pt idx="75">
                  <c:v>-0.50600000000000001</c:v>
                </c:pt>
                <c:pt idx="76">
                  <c:v>-0.48799999999999999</c:v>
                </c:pt>
                <c:pt idx="77">
                  <c:v>-0.47799999999999998</c:v>
                </c:pt>
                <c:pt idx="78">
                  <c:v>-0.45799999999999991</c:v>
                </c:pt>
                <c:pt idx="79">
                  <c:v>-0.35799999999999971</c:v>
                </c:pt>
                <c:pt idx="80">
                  <c:v>-0.1359999999999999</c:v>
                </c:pt>
                <c:pt idx="81">
                  <c:v>-7.5999999999999984E-2</c:v>
                </c:pt>
                <c:pt idx="82">
                  <c:v>-4.5999999999999923E-2</c:v>
                </c:pt>
                <c:pt idx="83">
                  <c:v>3.000000000000011E-2</c:v>
                </c:pt>
                <c:pt idx="84">
                  <c:v>0.11600000000000001</c:v>
                </c:pt>
                <c:pt idx="85">
                  <c:v>0.15600000000000011</c:v>
                </c:pt>
                <c:pt idx="86">
                  <c:v>0.222</c:v>
                </c:pt>
                <c:pt idx="87">
                  <c:v>0.23200000000000001</c:v>
                </c:pt>
                <c:pt idx="88">
                  <c:v>0.24399999999999999</c:v>
                </c:pt>
                <c:pt idx="89">
                  <c:v>0.28200000000000008</c:v>
                </c:pt>
                <c:pt idx="90">
                  <c:v>0.37</c:v>
                </c:pt>
                <c:pt idx="91">
                  <c:v>0.374</c:v>
                </c:pt>
                <c:pt idx="92">
                  <c:v>0.39800000000000008</c:v>
                </c:pt>
                <c:pt idx="93">
                  <c:v>0.43</c:v>
                </c:pt>
                <c:pt idx="94">
                  <c:v>0.43800000000000011</c:v>
                </c:pt>
                <c:pt idx="95">
                  <c:v>0.48399999999999999</c:v>
                </c:pt>
                <c:pt idx="96">
                  <c:v>0.54600000000000004</c:v>
                </c:pt>
                <c:pt idx="97">
                  <c:v>0.56999999999999995</c:v>
                </c:pt>
                <c:pt idx="98">
                  <c:v>0.59000000000000008</c:v>
                </c:pt>
                <c:pt idx="99">
                  <c:v>0.68</c:v>
                </c:pt>
                <c:pt idx="100">
                  <c:v>0.72199999999999998</c:v>
                </c:pt>
                <c:pt idx="101">
                  <c:v>0.76600000000000024</c:v>
                </c:pt>
                <c:pt idx="102">
                  <c:v>0.94200000000000017</c:v>
                </c:pt>
                <c:pt idx="103">
                  <c:v>1.0720000000000001</c:v>
                </c:pt>
                <c:pt idx="104">
                  <c:v>1.0920000000000001</c:v>
                </c:pt>
                <c:pt idx="105">
                  <c:v>1.1439999999999999</c:v>
                </c:pt>
                <c:pt idx="106">
                  <c:v>1.1599999999999999</c:v>
                </c:pt>
                <c:pt idx="107">
                  <c:v>1.1659999999999999</c:v>
                </c:pt>
                <c:pt idx="108">
                  <c:v>1.196</c:v>
                </c:pt>
                <c:pt idx="109">
                  <c:v>1.222</c:v>
                </c:pt>
                <c:pt idx="110">
                  <c:v>1.234</c:v>
                </c:pt>
                <c:pt idx="111">
                  <c:v>1.252</c:v>
                </c:pt>
                <c:pt idx="112">
                  <c:v>1.264</c:v>
                </c:pt>
                <c:pt idx="113">
                  <c:v>1.282</c:v>
                </c:pt>
                <c:pt idx="114">
                  <c:v>1.29</c:v>
                </c:pt>
                <c:pt idx="115">
                  <c:v>1.29</c:v>
                </c:pt>
                <c:pt idx="116">
                  <c:v>1.29</c:v>
                </c:pt>
                <c:pt idx="117">
                  <c:v>1.29</c:v>
                </c:pt>
                <c:pt idx="118">
                  <c:v>1.29</c:v>
                </c:pt>
                <c:pt idx="119">
                  <c:v>1.29</c:v>
                </c:pt>
                <c:pt idx="120">
                  <c:v>1.29</c:v>
                </c:pt>
                <c:pt idx="121">
                  <c:v>1.29</c:v>
                </c:pt>
                <c:pt idx="122">
                  <c:v>1.29</c:v>
                </c:pt>
                <c:pt idx="123">
                  <c:v>1.29</c:v>
                </c:pt>
                <c:pt idx="124">
                  <c:v>1.29</c:v>
                </c:pt>
                <c:pt idx="125">
                  <c:v>1.294</c:v>
                </c:pt>
                <c:pt idx="126">
                  <c:v>1.294</c:v>
                </c:pt>
                <c:pt idx="127">
                  <c:v>1.294</c:v>
                </c:pt>
                <c:pt idx="128">
                  <c:v>1.294</c:v>
                </c:pt>
                <c:pt idx="129">
                  <c:v>1.294</c:v>
                </c:pt>
                <c:pt idx="130">
                  <c:v>1.294</c:v>
                </c:pt>
                <c:pt idx="131">
                  <c:v>1.294</c:v>
                </c:pt>
                <c:pt idx="132">
                  <c:v>1.33</c:v>
                </c:pt>
                <c:pt idx="133">
                  <c:v>1.4159999999999999</c:v>
                </c:pt>
                <c:pt idx="134">
                  <c:v>1.4419999999999999</c:v>
                </c:pt>
                <c:pt idx="135">
                  <c:v>1.452</c:v>
                </c:pt>
                <c:pt idx="136">
                  <c:v>1.452</c:v>
                </c:pt>
                <c:pt idx="137">
                  <c:v>1.452</c:v>
                </c:pt>
                <c:pt idx="138">
                  <c:v>1.466</c:v>
                </c:pt>
                <c:pt idx="139">
                  <c:v>1.494</c:v>
                </c:pt>
                <c:pt idx="140">
                  <c:v>1.514</c:v>
                </c:pt>
                <c:pt idx="141">
                  <c:v>1.534</c:v>
                </c:pt>
                <c:pt idx="142">
                  <c:v>1.55</c:v>
                </c:pt>
                <c:pt idx="143">
                  <c:v>1.554</c:v>
                </c:pt>
                <c:pt idx="144">
                  <c:v>1.5720000000000001</c:v>
                </c:pt>
                <c:pt idx="145">
                  <c:v>1.5820000000000001</c:v>
                </c:pt>
                <c:pt idx="146">
                  <c:v>1.59</c:v>
                </c:pt>
                <c:pt idx="147">
                  <c:v>1.6060000000000001</c:v>
                </c:pt>
                <c:pt idx="148">
                  <c:v>1.6739999999999999</c:v>
                </c:pt>
                <c:pt idx="149">
                  <c:v>1.69</c:v>
                </c:pt>
                <c:pt idx="150">
                  <c:v>1.694</c:v>
                </c:pt>
                <c:pt idx="151">
                  <c:v>1.712</c:v>
                </c:pt>
                <c:pt idx="152">
                  <c:v>1.734</c:v>
                </c:pt>
                <c:pt idx="153">
                  <c:v>1.792</c:v>
                </c:pt>
                <c:pt idx="154">
                  <c:v>1.802</c:v>
                </c:pt>
                <c:pt idx="155">
                  <c:v>1.81</c:v>
                </c:pt>
                <c:pt idx="156">
                  <c:v>1.8120000000000001</c:v>
                </c:pt>
                <c:pt idx="157">
                  <c:v>1.8220000000000001</c:v>
                </c:pt>
                <c:pt idx="158">
                  <c:v>1.8340000000000001</c:v>
                </c:pt>
                <c:pt idx="159">
                  <c:v>1.8540000000000001</c:v>
                </c:pt>
                <c:pt idx="160">
                  <c:v>1.8540000000000001</c:v>
                </c:pt>
                <c:pt idx="161">
                  <c:v>1.8540000000000001</c:v>
                </c:pt>
                <c:pt idx="162">
                  <c:v>1.8420000000000001</c:v>
                </c:pt>
                <c:pt idx="163">
                  <c:v>1.8320000000000001</c:v>
                </c:pt>
                <c:pt idx="164">
                  <c:v>1.8220000000000001</c:v>
                </c:pt>
                <c:pt idx="165">
                  <c:v>1.8120000000000001</c:v>
                </c:pt>
                <c:pt idx="166">
                  <c:v>1.81</c:v>
                </c:pt>
                <c:pt idx="167">
                  <c:v>1.81</c:v>
                </c:pt>
                <c:pt idx="168">
                  <c:v>1.77</c:v>
                </c:pt>
                <c:pt idx="169">
                  <c:v>1.76</c:v>
                </c:pt>
                <c:pt idx="170">
                  <c:v>1.752</c:v>
                </c:pt>
                <c:pt idx="171">
                  <c:v>1.752</c:v>
                </c:pt>
                <c:pt idx="172">
                  <c:v>1.752</c:v>
                </c:pt>
                <c:pt idx="173">
                  <c:v>1.752</c:v>
                </c:pt>
                <c:pt idx="174">
                  <c:v>1.752</c:v>
                </c:pt>
                <c:pt idx="175">
                  <c:v>1.752</c:v>
                </c:pt>
                <c:pt idx="176">
                  <c:v>1.752</c:v>
                </c:pt>
                <c:pt idx="177">
                  <c:v>1.752</c:v>
                </c:pt>
                <c:pt idx="178">
                  <c:v>1.752</c:v>
                </c:pt>
                <c:pt idx="179">
                  <c:v>1.76</c:v>
                </c:pt>
                <c:pt idx="180">
                  <c:v>1.762</c:v>
                </c:pt>
                <c:pt idx="181">
                  <c:v>1.778</c:v>
                </c:pt>
                <c:pt idx="182">
                  <c:v>1.778</c:v>
                </c:pt>
                <c:pt idx="183">
                  <c:v>1.81</c:v>
                </c:pt>
                <c:pt idx="184">
                  <c:v>1.81</c:v>
                </c:pt>
                <c:pt idx="185">
                  <c:v>1.81</c:v>
                </c:pt>
                <c:pt idx="186">
                  <c:v>1.81</c:v>
                </c:pt>
                <c:pt idx="187">
                  <c:v>1.81</c:v>
                </c:pt>
                <c:pt idx="188">
                  <c:v>1.81</c:v>
                </c:pt>
                <c:pt idx="189">
                  <c:v>1.81</c:v>
                </c:pt>
                <c:pt idx="190">
                  <c:v>1.81</c:v>
                </c:pt>
                <c:pt idx="191">
                  <c:v>1.8160000000000001</c:v>
                </c:pt>
                <c:pt idx="192">
                  <c:v>1.8160000000000001</c:v>
                </c:pt>
                <c:pt idx="193">
                  <c:v>1.8160000000000001</c:v>
                </c:pt>
                <c:pt idx="194">
                  <c:v>1.8160000000000001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1.8320000000000001</c:v>
                </c:pt>
                <c:pt idx="213">
                  <c:v>1.8360000000000001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1.8520000000000001</c:v>
                </c:pt>
                <c:pt idx="225">
                  <c:v>1.8340000000000001</c:v>
                </c:pt>
                <c:pt idx="226">
                  <c:v>1.83</c:v>
                </c:pt>
                <c:pt idx="227">
                  <c:v>1.83</c:v>
                </c:pt>
                <c:pt idx="228">
                  <c:v>1.8220000000000001</c:v>
                </c:pt>
                <c:pt idx="229">
                  <c:v>1.82</c:v>
                </c:pt>
                <c:pt idx="230">
                  <c:v>1.82</c:v>
                </c:pt>
                <c:pt idx="231">
                  <c:v>1.82</c:v>
                </c:pt>
                <c:pt idx="232">
                  <c:v>1.82</c:v>
                </c:pt>
                <c:pt idx="233">
                  <c:v>1.82</c:v>
                </c:pt>
                <c:pt idx="234">
                  <c:v>1.82</c:v>
                </c:pt>
                <c:pt idx="235">
                  <c:v>1.82</c:v>
                </c:pt>
                <c:pt idx="236">
                  <c:v>1.82</c:v>
                </c:pt>
                <c:pt idx="237">
                  <c:v>1.82</c:v>
                </c:pt>
                <c:pt idx="238">
                  <c:v>1.82</c:v>
                </c:pt>
                <c:pt idx="239">
                  <c:v>1.82</c:v>
                </c:pt>
                <c:pt idx="240">
                  <c:v>1.82</c:v>
                </c:pt>
                <c:pt idx="241">
                  <c:v>1.8120000000000001</c:v>
                </c:pt>
                <c:pt idx="242">
                  <c:v>1.802</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273D-48AB-A975-8FE7F45080DB}"/>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_DASH_DATA!$AI$2:$AI$261</c:f>
              <c:numCache>
                <c:formatCode>General</c:formatCode>
                <c:ptCount val="260"/>
                <c:pt idx="259">
                  <c:v>2.19</c:v>
                </c:pt>
              </c:numCache>
            </c:numRef>
          </c:val>
          <c:smooth val="0"/>
          <c:extLst>
            <c:ext xmlns:c16="http://schemas.microsoft.com/office/drawing/2014/chart" uri="{C3380CC4-5D6E-409C-BE32-E72D297353CC}">
              <c16:uniqueId val="{00000003-273D-48AB-A975-8FE7F45080DB}"/>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_DASH_DATA!$R$2:$R$261</c:f>
              <c:numCache>
                <c:formatCode>General</c:formatCode>
                <c:ptCount val="260"/>
                <c:pt idx="0">
                  <c:v>1.37</c:v>
                </c:pt>
                <c:pt idx="1">
                  <c:v>1.31</c:v>
                </c:pt>
                <c:pt idx="2">
                  <c:v>1.3</c:v>
                </c:pt>
                <c:pt idx="3">
                  <c:v>1.24</c:v>
                </c:pt>
                <c:pt idx="4">
                  <c:v>1.31</c:v>
                </c:pt>
                <c:pt idx="5">
                  <c:v>1.29</c:v>
                </c:pt>
                <c:pt idx="6">
                  <c:v>1.26</c:v>
                </c:pt>
                <c:pt idx="7">
                  <c:v>1.31</c:v>
                </c:pt>
                <c:pt idx="8">
                  <c:v>1.33</c:v>
                </c:pt>
                <c:pt idx="9">
                  <c:v>1.35</c:v>
                </c:pt>
                <c:pt idx="10">
                  <c:v>1.37</c:v>
                </c:pt>
                <c:pt idx="11">
                  <c:v>1.47</c:v>
                </c:pt>
                <c:pt idx="12">
                  <c:v>1.48</c:v>
                </c:pt>
                <c:pt idx="13">
                  <c:v>1.61</c:v>
                </c:pt>
                <c:pt idx="14">
                  <c:v>1.59</c:v>
                </c:pt>
                <c:pt idx="15">
                  <c:v>1.66</c:v>
                </c:pt>
                <c:pt idx="16">
                  <c:v>1.55</c:v>
                </c:pt>
                <c:pt idx="17">
                  <c:v>1.45</c:v>
                </c:pt>
                <c:pt idx="18">
                  <c:v>1.58</c:v>
                </c:pt>
                <c:pt idx="19">
                  <c:v>1.54</c:v>
                </c:pt>
                <c:pt idx="20">
                  <c:v>1.48</c:v>
                </c:pt>
                <c:pt idx="21">
                  <c:v>1.35</c:v>
                </c:pt>
                <c:pt idx="22">
                  <c:v>1.48</c:v>
                </c:pt>
                <c:pt idx="23">
                  <c:v>1.41</c:v>
                </c:pt>
                <c:pt idx="24">
                  <c:v>1.5</c:v>
                </c:pt>
                <c:pt idx="25">
                  <c:v>1.52</c:v>
                </c:pt>
                <c:pt idx="26">
                  <c:v>1.76</c:v>
                </c:pt>
                <c:pt idx="27">
                  <c:v>1.78</c:v>
                </c:pt>
                <c:pt idx="28">
                  <c:v>1.75</c:v>
                </c:pt>
                <c:pt idx="29">
                  <c:v>1.78</c:v>
                </c:pt>
                <c:pt idx="30">
                  <c:v>1.93</c:v>
                </c:pt>
                <c:pt idx="31">
                  <c:v>1.92</c:v>
                </c:pt>
                <c:pt idx="32">
                  <c:v>1.92</c:v>
                </c:pt>
                <c:pt idx="33">
                  <c:v>1.97</c:v>
                </c:pt>
                <c:pt idx="34">
                  <c:v>1.74</c:v>
                </c:pt>
                <c:pt idx="35">
                  <c:v>2</c:v>
                </c:pt>
                <c:pt idx="36">
                  <c:v>2.14</c:v>
                </c:pt>
                <c:pt idx="37">
                  <c:v>2.48</c:v>
                </c:pt>
                <c:pt idx="38">
                  <c:v>2.39</c:v>
                </c:pt>
                <c:pt idx="39">
                  <c:v>2.72</c:v>
                </c:pt>
                <c:pt idx="40">
                  <c:v>2.83</c:v>
                </c:pt>
                <c:pt idx="41">
                  <c:v>2.9</c:v>
                </c:pt>
                <c:pt idx="42">
                  <c:v>2.89</c:v>
                </c:pt>
                <c:pt idx="43">
                  <c:v>3.12</c:v>
                </c:pt>
                <c:pt idx="44">
                  <c:v>2.93</c:v>
                </c:pt>
                <c:pt idx="45">
                  <c:v>2.78</c:v>
                </c:pt>
                <c:pt idx="46">
                  <c:v>2.74</c:v>
                </c:pt>
                <c:pt idx="47">
                  <c:v>2.96</c:v>
                </c:pt>
                <c:pt idx="48">
                  <c:v>3.15</c:v>
                </c:pt>
                <c:pt idx="49">
                  <c:v>3.25</c:v>
                </c:pt>
                <c:pt idx="50">
                  <c:v>3.13</c:v>
                </c:pt>
                <c:pt idx="51">
                  <c:v>2.88</c:v>
                </c:pt>
                <c:pt idx="52">
                  <c:v>3.09</c:v>
                </c:pt>
                <c:pt idx="53">
                  <c:v>2.93</c:v>
                </c:pt>
                <c:pt idx="54">
                  <c:v>2.77</c:v>
                </c:pt>
                <c:pt idx="55">
                  <c:v>2.67</c:v>
                </c:pt>
                <c:pt idx="56">
                  <c:v>2.83</c:v>
                </c:pt>
                <c:pt idx="57">
                  <c:v>2.84</c:v>
                </c:pt>
                <c:pt idx="58">
                  <c:v>2.98</c:v>
                </c:pt>
                <c:pt idx="59">
                  <c:v>3.04</c:v>
                </c:pt>
                <c:pt idx="60">
                  <c:v>3.2</c:v>
                </c:pt>
                <c:pt idx="61">
                  <c:v>3.33</c:v>
                </c:pt>
                <c:pt idx="62">
                  <c:v>3.45</c:v>
                </c:pt>
                <c:pt idx="63">
                  <c:v>3.69</c:v>
                </c:pt>
                <c:pt idx="64">
                  <c:v>3.83</c:v>
                </c:pt>
                <c:pt idx="65">
                  <c:v>3.89</c:v>
                </c:pt>
                <c:pt idx="66">
                  <c:v>4</c:v>
                </c:pt>
                <c:pt idx="67">
                  <c:v>4.21</c:v>
                </c:pt>
                <c:pt idx="68">
                  <c:v>4.0199999999999996</c:v>
                </c:pt>
                <c:pt idx="69">
                  <c:v>4.17</c:v>
                </c:pt>
                <c:pt idx="70">
                  <c:v>3.82</c:v>
                </c:pt>
                <c:pt idx="71">
                  <c:v>3.82</c:v>
                </c:pt>
                <c:pt idx="72">
                  <c:v>3.68</c:v>
                </c:pt>
                <c:pt idx="73">
                  <c:v>3.51</c:v>
                </c:pt>
                <c:pt idx="74">
                  <c:v>3.57</c:v>
                </c:pt>
                <c:pt idx="75">
                  <c:v>3.48</c:v>
                </c:pt>
                <c:pt idx="76">
                  <c:v>3.75</c:v>
                </c:pt>
                <c:pt idx="77">
                  <c:v>3.88</c:v>
                </c:pt>
                <c:pt idx="78">
                  <c:v>3.55</c:v>
                </c:pt>
                <c:pt idx="79">
                  <c:v>3.49</c:v>
                </c:pt>
                <c:pt idx="80">
                  <c:v>3.48</c:v>
                </c:pt>
                <c:pt idx="81">
                  <c:v>3.52</c:v>
                </c:pt>
                <c:pt idx="82">
                  <c:v>3.53</c:v>
                </c:pt>
                <c:pt idx="83">
                  <c:v>3.74</c:v>
                </c:pt>
                <c:pt idx="84">
                  <c:v>3.82</c:v>
                </c:pt>
                <c:pt idx="85">
                  <c:v>3.95</c:v>
                </c:pt>
                <c:pt idx="86">
                  <c:v>3.97</c:v>
                </c:pt>
                <c:pt idx="87">
                  <c:v>3.7</c:v>
                </c:pt>
                <c:pt idx="88">
                  <c:v>3.39</c:v>
                </c:pt>
                <c:pt idx="89">
                  <c:v>3.38</c:v>
                </c:pt>
                <c:pt idx="90">
                  <c:v>3.48</c:v>
                </c:pt>
                <c:pt idx="91">
                  <c:v>3.39</c:v>
                </c:pt>
                <c:pt idx="92">
                  <c:v>3.52</c:v>
                </c:pt>
                <c:pt idx="93">
                  <c:v>3.57</c:v>
                </c:pt>
                <c:pt idx="94">
                  <c:v>3.44</c:v>
                </c:pt>
                <c:pt idx="95">
                  <c:v>3.44</c:v>
                </c:pt>
                <c:pt idx="96">
                  <c:v>3.46</c:v>
                </c:pt>
                <c:pt idx="97">
                  <c:v>3.7</c:v>
                </c:pt>
                <c:pt idx="98">
                  <c:v>3.8</c:v>
                </c:pt>
                <c:pt idx="99">
                  <c:v>3.69</c:v>
                </c:pt>
                <c:pt idx="100">
                  <c:v>3.75</c:v>
                </c:pt>
                <c:pt idx="101">
                  <c:v>3.77</c:v>
                </c:pt>
                <c:pt idx="102">
                  <c:v>3.74</c:v>
                </c:pt>
                <c:pt idx="103">
                  <c:v>3.81</c:v>
                </c:pt>
                <c:pt idx="104">
                  <c:v>4.0599999999999996</c:v>
                </c:pt>
                <c:pt idx="105">
                  <c:v>3.83</c:v>
                </c:pt>
                <c:pt idx="106">
                  <c:v>3.84</c:v>
                </c:pt>
                <c:pt idx="107">
                  <c:v>3.96</c:v>
                </c:pt>
                <c:pt idx="108">
                  <c:v>4.05</c:v>
                </c:pt>
                <c:pt idx="109">
                  <c:v>4.16</c:v>
                </c:pt>
                <c:pt idx="110">
                  <c:v>4.26</c:v>
                </c:pt>
                <c:pt idx="111">
                  <c:v>4.25</c:v>
                </c:pt>
                <c:pt idx="112">
                  <c:v>4.18</c:v>
                </c:pt>
                <c:pt idx="113">
                  <c:v>4.26</c:v>
                </c:pt>
                <c:pt idx="114">
                  <c:v>4.33</c:v>
                </c:pt>
                <c:pt idx="115">
                  <c:v>4.4400000000000004</c:v>
                </c:pt>
                <c:pt idx="116">
                  <c:v>4.59</c:v>
                </c:pt>
                <c:pt idx="117">
                  <c:v>4.78</c:v>
                </c:pt>
                <c:pt idx="118">
                  <c:v>4.63</c:v>
                </c:pt>
                <c:pt idx="119">
                  <c:v>4.93</c:v>
                </c:pt>
                <c:pt idx="120">
                  <c:v>4.84</c:v>
                </c:pt>
                <c:pt idx="121">
                  <c:v>4.57</c:v>
                </c:pt>
                <c:pt idx="122">
                  <c:v>4.6100000000000003</c:v>
                </c:pt>
                <c:pt idx="123">
                  <c:v>4.4400000000000004</c:v>
                </c:pt>
                <c:pt idx="124">
                  <c:v>4.47</c:v>
                </c:pt>
                <c:pt idx="125">
                  <c:v>4.22</c:v>
                </c:pt>
                <c:pt idx="126">
                  <c:v>4.2300000000000004</c:v>
                </c:pt>
                <c:pt idx="127">
                  <c:v>3.91</c:v>
                </c:pt>
                <c:pt idx="128">
                  <c:v>3.9</c:v>
                </c:pt>
                <c:pt idx="129">
                  <c:v>3.88</c:v>
                </c:pt>
                <c:pt idx="130">
                  <c:v>4.05</c:v>
                </c:pt>
                <c:pt idx="131">
                  <c:v>3.96</c:v>
                </c:pt>
                <c:pt idx="132">
                  <c:v>4.1500000000000004</c:v>
                </c:pt>
                <c:pt idx="133">
                  <c:v>4.1500000000000004</c:v>
                </c:pt>
                <c:pt idx="134">
                  <c:v>4.03</c:v>
                </c:pt>
                <c:pt idx="135">
                  <c:v>4.17</c:v>
                </c:pt>
                <c:pt idx="136">
                  <c:v>4.3</c:v>
                </c:pt>
                <c:pt idx="137">
                  <c:v>4.26</c:v>
                </c:pt>
                <c:pt idx="138">
                  <c:v>4.1900000000000004</c:v>
                </c:pt>
                <c:pt idx="139">
                  <c:v>4.09</c:v>
                </c:pt>
                <c:pt idx="140">
                  <c:v>4.3099999999999996</c:v>
                </c:pt>
                <c:pt idx="141">
                  <c:v>4.22</c:v>
                </c:pt>
                <c:pt idx="142">
                  <c:v>4.2</c:v>
                </c:pt>
                <c:pt idx="143">
                  <c:v>4.3899999999999997</c:v>
                </c:pt>
                <c:pt idx="144">
                  <c:v>4.5</c:v>
                </c:pt>
                <c:pt idx="145">
                  <c:v>4.62</c:v>
                </c:pt>
                <c:pt idx="146">
                  <c:v>4.67</c:v>
                </c:pt>
                <c:pt idx="147">
                  <c:v>4.5</c:v>
                </c:pt>
                <c:pt idx="148">
                  <c:v>4.5</c:v>
                </c:pt>
                <c:pt idx="149">
                  <c:v>4.42</c:v>
                </c:pt>
                <c:pt idx="150">
                  <c:v>4.46</c:v>
                </c:pt>
                <c:pt idx="151">
                  <c:v>4.51</c:v>
                </c:pt>
                <c:pt idx="152">
                  <c:v>4.43</c:v>
                </c:pt>
                <c:pt idx="153">
                  <c:v>4.2</c:v>
                </c:pt>
                <c:pt idx="154">
                  <c:v>4.25</c:v>
                </c:pt>
                <c:pt idx="155">
                  <c:v>4.3600000000000003</c:v>
                </c:pt>
                <c:pt idx="156">
                  <c:v>4.28</c:v>
                </c:pt>
                <c:pt idx="157">
                  <c:v>4.18</c:v>
                </c:pt>
                <c:pt idx="158">
                  <c:v>4.25</c:v>
                </c:pt>
                <c:pt idx="159">
                  <c:v>4.2</c:v>
                </c:pt>
                <c:pt idx="160">
                  <c:v>3.8</c:v>
                </c:pt>
                <c:pt idx="161">
                  <c:v>3.94</c:v>
                </c:pt>
                <c:pt idx="162">
                  <c:v>3.89</c:v>
                </c:pt>
                <c:pt idx="163">
                  <c:v>3.81</c:v>
                </c:pt>
                <c:pt idx="164">
                  <c:v>3.91</c:v>
                </c:pt>
                <c:pt idx="165">
                  <c:v>3.72</c:v>
                </c:pt>
                <c:pt idx="166">
                  <c:v>3.66</c:v>
                </c:pt>
                <c:pt idx="167">
                  <c:v>3.73</c:v>
                </c:pt>
                <c:pt idx="168">
                  <c:v>3.75</c:v>
                </c:pt>
                <c:pt idx="169">
                  <c:v>3.98</c:v>
                </c:pt>
                <c:pt idx="170">
                  <c:v>4.08</c:v>
                </c:pt>
                <c:pt idx="171">
                  <c:v>4.08</c:v>
                </c:pt>
                <c:pt idx="172">
                  <c:v>4.25</c:v>
                </c:pt>
                <c:pt idx="173">
                  <c:v>4.37</c:v>
                </c:pt>
                <c:pt idx="174">
                  <c:v>4.3</c:v>
                </c:pt>
                <c:pt idx="175">
                  <c:v>4.43</c:v>
                </c:pt>
                <c:pt idx="176">
                  <c:v>4.41</c:v>
                </c:pt>
                <c:pt idx="177">
                  <c:v>4.18</c:v>
                </c:pt>
                <c:pt idx="178">
                  <c:v>4.1500000000000004</c:v>
                </c:pt>
                <c:pt idx="179">
                  <c:v>4.4000000000000004</c:v>
                </c:pt>
                <c:pt idx="180">
                  <c:v>4.5199999999999996</c:v>
                </c:pt>
                <c:pt idx="181">
                  <c:v>4.62</c:v>
                </c:pt>
                <c:pt idx="182">
                  <c:v>4.5999999999999996</c:v>
                </c:pt>
                <c:pt idx="183">
                  <c:v>4.7699999999999996</c:v>
                </c:pt>
                <c:pt idx="184">
                  <c:v>4.6100000000000003</c:v>
                </c:pt>
                <c:pt idx="185">
                  <c:v>4.63</c:v>
                </c:pt>
                <c:pt idx="186">
                  <c:v>4.58</c:v>
                </c:pt>
                <c:pt idx="187">
                  <c:v>4.49</c:v>
                </c:pt>
                <c:pt idx="188">
                  <c:v>4.47</c:v>
                </c:pt>
                <c:pt idx="189">
                  <c:v>4.42</c:v>
                </c:pt>
                <c:pt idx="190">
                  <c:v>4.24</c:v>
                </c:pt>
                <c:pt idx="191">
                  <c:v>4.32</c:v>
                </c:pt>
                <c:pt idx="192">
                  <c:v>4.3099999999999996</c:v>
                </c:pt>
                <c:pt idx="193">
                  <c:v>4.25</c:v>
                </c:pt>
                <c:pt idx="194">
                  <c:v>4.2699999999999996</c:v>
                </c:pt>
                <c:pt idx="195">
                  <c:v>4.01</c:v>
                </c:pt>
                <c:pt idx="196">
                  <c:v>4.4800000000000004</c:v>
                </c:pt>
                <c:pt idx="197">
                  <c:v>4.34</c:v>
                </c:pt>
                <c:pt idx="198">
                  <c:v>4.29</c:v>
                </c:pt>
                <c:pt idx="199">
                  <c:v>4.33</c:v>
                </c:pt>
                <c:pt idx="200">
                  <c:v>4.37</c:v>
                </c:pt>
                <c:pt idx="201">
                  <c:v>4.43</c:v>
                </c:pt>
                <c:pt idx="202">
                  <c:v>4.51</c:v>
                </c:pt>
                <c:pt idx="203">
                  <c:v>4.41</c:v>
                </c:pt>
                <c:pt idx="204">
                  <c:v>4.51</c:v>
                </c:pt>
                <c:pt idx="205">
                  <c:v>4.41</c:v>
                </c:pt>
                <c:pt idx="206">
                  <c:v>4.38</c:v>
                </c:pt>
                <c:pt idx="207">
                  <c:v>4.29</c:v>
                </c:pt>
                <c:pt idx="208">
                  <c:v>4.3499999999999996</c:v>
                </c:pt>
                <c:pt idx="209">
                  <c:v>4.43</c:v>
                </c:pt>
                <c:pt idx="210">
                  <c:v>4.4400000000000004</c:v>
                </c:pt>
                <c:pt idx="211">
                  <c:v>4.4000000000000004</c:v>
                </c:pt>
                <c:pt idx="212">
                  <c:v>4.2300000000000004</c:v>
                </c:pt>
                <c:pt idx="213">
                  <c:v>4.2699999999999996</c:v>
                </c:pt>
                <c:pt idx="214">
                  <c:v>4.33</c:v>
                </c:pt>
                <c:pt idx="215">
                  <c:v>4.26</c:v>
                </c:pt>
                <c:pt idx="216">
                  <c:v>4.2300000000000004</c:v>
                </c:pt>
                <c:pt idx="217">
                  <c:v>4.0999999999999996</c:v>
                </c:pt>
                <c:pt idx="218">
                  <c:v>4.0599999999999996</c:v>
                </c:pt>
                <c:pt idx="219">
                  <c:v>4.1399999999999997</c:v>
                </c:pt>
                <c:pt idx="220">
                  <c:v>4.2</c:v>
                </c:pt>
                <c:pt idx="221">
                  <c:v>4.13</c:v>
                </c:pt>
                <c:pt idx="222">
                  <c:v>4.05</c:v>
                </c:pt>
                <c:pt idx="223">
                  <c:v>4.0199999999999996</c:v>
                </c:pt>
                <c:pt idx="224">
                  <c:v>4.0199999999999996</c:v>
                </c:pt>
                <c:pt idx="225">
                  <c:v>4.1100000000000003</c:v>
                </c:pt>
                <c:pt idx="226">
                  <c:v>4.1100000000000003</c:v>
                </c:pt>
                <c:pt idx="227">
                  <c:v>4.1399999999999997</c:v>
                </c:pt>
                <c:pt idx="228">
                  <c:v>4.0599999999999996</c:v>
                </c:pt>
                <c:pt idx="229">
                  <c:v>4.0199999999999996</c:v>
                </c:pt>
                <c:pt idx="230">
                  <c:v>4.1399999999999997</c:v>
                </c:pt>
                <c:pt idx="231">
                  <c:v>4.1900000000000004</c:v>
                </c:pt>
                <c:pt idx="232">
                  <c:v>4.16</c:v>
                </c:pt>
                <c:pt idx="233">
                  <c:v>4.1399999999999997</c:v>
                </c:pt>
                <c:pt idx="234">
                  <c:v>4.1900000000000004</c:v>
                </c:pt>
                <c:pt idx="235">
                  <c:v>4.18</c:v>
                </c:pt>
                <c:pt idx="236">
                  <c:v>4.24</c:v>
                </c:pt>
                <c:pt idx="237">
                  <c:v>4.24</c:v>
                </c:pt>
                <c:pt idx="238">
                  <c:v>4.26</c:v>
                </c:pt>
                <c:pt idx="239">
                  <c:v>4.22</c:v>
                </c:pt>
                <c:pt idx="240">
                  <c:v>4.04</c:v>
                </c:pt>
                <c:pt idx="241">
                  <c:v>4.08</c:v>
                </c:pt>
                <c:pt idx="242">
                  <c:v>3.97</c:v>
                </c:pt>
                <c:pt idx="243">
                  <c:v>4.1500000000000004</c:v>
                </c:pt>
                <c:pt idx="244">
                  <c:v>4.28</c:v>
                </c:pt>
                <c:pt idx="245">
                  <c:v>4.3899999999999997</c:v>
                </c:pt>
                <c:pt idx="246">
                  <c:v>4.4400000000000004</c:v>
                </c:pt>
                <c:pt idx="247">
                  <c:v>4.3499999999999996</c:v>
                </c:pt>
                <c:pt idx="248">
                  <c:v>4.3099999999999996</c:v>
                </c:pt>
                <c:pt idx="249">
                  <c:v>4.26</c:v>
                </c:pt>
                <c:pt idx="250">
                  <c:v>4.3099999999999996</c:v>
                </c:pt>
                <c:pt idx="251">
                  <c:v>4.3899999999999997</c:v>
                </c:pt>
                <c:pt idx="252">
                  <c:v>4.38</c:v>
                </c:pt>
                <c:pt idx="253">
                  <c:v>4.59</c:v>
                </c:pt>
                <c:pt idx="254">
                  <c:v>4.5599999999999996</c:v>
                </c:pt>
                <c:pt idx="255">
                  <c:v>4.45</c:v>
                </c:pt>
                <c:pt idx="256">
                  <c:v>4.55</c:v>
                </c:pt>
                <c:pt idx="257">
                  <c:v>4.4800000000000004</c:v>
                </c:pt>
                <c:pt idx="258">
                  <c:v>4.46</c:v>
                </c:pt>
                <c:pt idx="259">
                  <c:v>4.4000000000000004</c:v>
                </c:pt>
              </c:numCache>
            </c:numRef>
          </c:val>
          <c:smooth val="0"/>
          <c:extLst>
            <c:ext xmlns:c16="http://schemas.microsoft.com/office/drawing/2014/chart" uri="{C3380CC4-5D6E-409C-BE32-E72D297353CC}">
              <c16:uniqueId val="{00000000-5CE8-4C32-AE45-FEA433CBC5D2}"/>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1.5880000000000001</c:v>
                </c:pt>
                <c:pt idx="14">
                  <c:v>1.59</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1.6080000000000001</c:v>
                </c:pt>
                <c:pt idx="27">
                  <c:v>1.6259999999999999</c:v>
                </c:pt>
                <c:pt idx="28">
                  <c:v>1.63</c:v>
                </c:pt>
                <c:pt idx="29">
                  <c:v>1.6379999999999999</c:v>
                </c:pt>
                <c:pt idx="30">
                  <c:v>1.6479999999999999</c:v>
                </c:pt>
                <c:pt idx="31">
                  <c:v>1.6579999999999999</c:v>
                </c:pt>
                <c:pt idx="32">
                  <c:v>1.6679999999999999</c:v>
                </c:pt>
                <c:pt idx="33">
                  <c:v>1.67</c:v>
                </c:pt>
                <c:pt idx="34">
                  <c:v>1.71</c:v>
                </c:pt>
                <c:pt idx="35">
                  <c:v>1.736</c:v>
                </c:pt>
                <c:pt idx="36">
                  <c:v>1.736</c:v>
                </c:pt>
                <c:pt idx="37">
                  <c:v>1.748</c:v>
                </c:pt>
                <c:pt idx="38">
                  <c:v>1.758</c:v>
                </c:pt>
                <c:pt idx="39">
                  <c:v>1.776</c:v>
                </c:pt>
                <c:pt idx="40">
                  <c:v>1.78</c:v>
                </c:pt>
                <c:pt idx="41">
                  <c:v>1.892000000000001</c:v>
                </c:pt>
                <c:pt idx="42">
                  <c:v>1.92</c:v>
                </c:pt>
                <c:pt idx="43">
                  <c:v>1.9279999999999999</c:v>
                </c:pt>
                <c:pt idx="44">
                  <c:v>1.962</c:v>
                </c:pt>
                <c:pt idx="45">
                  <c:v>1.994</c:v>
                </c:pt>
                <c:pt idx="46">
                  <c:v>2.112000000000001</c:v>
                </c:pt>
                <c:pt idx="47">
                  <c:v>2.3400000000000012</c:v>
                </c:pt>
                <c:pt idx="48">
                  <c:v>2.4620000000000002</c:v>
                </c:pt>
                <c:pt idx="49">
                  <c:v>2.672000000000001</c:v>
                </c:pt>
                <c:pt idx="50">
                  <c:v>2.7360000000000002</c:v>
                </c:pt>
                <c:pt idx="51">
                  <c:v>2.7719999999999998</c:v>
                </c:pt>
                <c:pt idx="52">
                  <c:v>2.82</c:v>
                </c:pt>
                <c:pt idx="53">
                  <c:v>2.87</c:v>
                </c:pt>
                <c:pt idx="54">
                  <c:v>2.87</c:v>
                </c:pt>
                <c:pt idx="55">
                  <c:v>2.87</c:v>
                </c:pt>
                <c:pt idx="56">
                  <c:v>2.87</c:v>
                </c:pt>
                <c:pt idx="57">
                  <c:v>2.8719999999999999</c:v>
                </c:pt>
                <c:pt idx="58">
                  <c:v>2.8879999999999999</c:v>
                </c:pt>
                <c:pt idx="59">
                  <c:v>2.8980000000000001</c:v>
                </c:pt>
                <c:pt idx="60">
                  <c:v>2.9239999999999999</c:v>
                </c:pt>
                <c:pt idx="61">
                  <c:v>2.93</c:v>
                </c:pt>
                <c:pt idx="62">
                  <c:v>2.9540000000000002</c:v>
                </c:pt>
                <c:pt idx="63">
                  <c:v>2.976</c:v>
                </c:pt>
                <c:pt idx="64">
                  <c:v>3.028</c:v>
                </c:pt>
                <c:pt idx="65">
                  <c:v>3.08</c:v>
                </c:pt>
                <c:pt idx="66">
                  <c:v>3.1139999999999999</c:v>
                </c:pt>
                <c:pt idx="67">
                  <c:v>3.1280000000000001</c:v>
                </c:pt>
                <c:pt idx="68">
                  <c:v>3.1459999999999999</c:v>
                </c:pt>
                <c:pt idx="69">
                  <c:v>3.19</c:v>
                </c:pt>
                <c:pt idx="70">
                  <c:v>3.24</c:v>
                </c:pt>
                <c:pt idx="71">
                  <c:v>3.3140000000000009</c:v>
                </c:pt>
                <c:pt idx="72">
                  <c:v>3.426000000000001</c:v>
                </c:pt>
                <c:pt idx="73">
                  <c:v>3.4980000000000002</c:v>
                </c:pt>
                <c:pt idx="74">
                  <c:v>3.5579999999999998</c:v>
                </c:pt>
                <c:pt idx="75">
                  <c:v>3.5579999999999998</c:v>
                </c:pt>
                <c:pt idx="76">
                  <c:v>3.6579999999999999</c:v>
                </c:pt>
                <c:pt idx="77">
                  <c:v>3.6880000000000002</c:v>
                </c:pt>
                <c:pt idx="78">
                  <c:v>3.6880000000000002</c:v>
                </c:pt>
                <c:pt idx="79">
                  <c:v>3.6880000000000002</c:v>
                </c:pt>
                <c:pt idx="80">
                  <c:v>3.6880000000000002</c:v>
                </c:pt>
                <c:pt idx="81">
                  <c:v>3.6880000000000002</c:v>
                </c:pt>
                <c:pt idx="82">
                  <c:v>3.6880000000000002</c:v>
                </c:pt>
                <c:pt idx="83">
                  <c:v>3.73</c:v>
                </c:pt>
                <c:pt idx="84">
                  <c:v>3.7480000000000002</c:v>
                </c:pt>
                <c:pt idx="85">
                  <c:v>3.806</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3.8279999999999998</c:v>
                </c:pt>
                <c:pt idx="106">
                  <c:v>3.83</c:v>
                </c:pt>
                <c:pt idx="107">
                  <c:v>3.8380000000000001</c:v>
                </c:pt>
                <c:pt idx="108">
                  <c:v>3.8719999999999999</c:v>
                </c:pt>
                <c:pt idx="109">
                  <c:v>3.8879999999999999</c:v>
                </c:pt>
                <c:pt idx="110">
                  <c:v>3.9380000000000011</c:v>
                </c:pt>
                <c:pt idx="111">
                  <c:v>3.9580000000000002</c:v>
                </c:pt>
                <c:pt idx="112">
                  <c:v>3.968</c:v>
                </c:pt>
                <c:pt idx="113">
                  <c:v>3.9940000000000002</c:v>
                </c:pt>
                <c:pt idx="114">
                  <c:v>4.016</c:v>
                </c:pt>
                <c:pt idx="115">
                  <c:v>4.0439999999999996</c:v>
                </c:pt>
                <c:pt idx="116">
                  <c:v>4.0579999999999998</c:v>
                </c:pt>
                <c:pt idx="117">
                  <c:v>4.1400000000000006</c:v>
                </c:pt>
                <c:pt idx="118">
                  <c:v>4.1680000000000001</c:v>
                </c:pt>
                <c:pt idx="119">
                  <c:v>4.1680000000000001</c:v>
                </c:pt>
                <c:pt idx="120">
                  <c:v>4.1779999999999999</c:v>
                </c:pt>
                <c:pt idx="121">
                  <c:v>4.2360000000000007</c:v>
                </c:pt>
                <c:pt idx="122">
                  <c:v>4.258</c:v>
                </c:pt>
                <c:pt idx="123">
                  <c:v>4.26</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4.3239999999999998</c:v>
                </c:pt>
                <c:pt idx="137">
                  <c:v>4.3239999999999998</c:v>
                </c:pt>
                <c:pt idx="138">
                  <c:v>4.3239999999999998</c:v>
                </c:pt>
                <c:pt idx="139">
                  <c:v>4.3239999999999998</c:v>
                </c:pt>
                <c:pt idx="140">
                  <c:v>4.3259999999999996</c:v>
                </c:pt>
                <c:pt idx="141">
                  <c:v>4.3259999999999996</c:v>
                </c:pt>
                <c:pt idx="142">
                  <c:v>4.3259999999999996</c:v>
                </c:pt>
                <c:pt idx="143">
                  <c:v>4.3780000000000001</c:v>
                </c:pt>
                <c:pt idx="144">
                  <c:v>4.4300000000000006</c:v>
                </c:pt>
                <c:pt idx="145">
                  <c:v>4.4400000000000004</c:v>
                </c:pt>
                <c:pt idx="146">
                  <c:v>4.4640000000000004</c:v>
                </c:pt>
                <c:pt idx="147">
                  <c:v>4.4939999999999998</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4.4939999999999998</c:v>
                </c:pt>
                <c:pt idx="170">
                  <c:v>4.468</c:v>
                </c:pt>
                <c:pt idx="171">
                  <c:v>4.4560000000000004</c:v>
                </c:pt>
                <c:pt idx="172">
                  <c:v>4.4380000000000006</c:v>
                </c:pt>
                <c:pt idx="173">
                  <c:v>4.4279999999999999</c:v>
                </c:pt>
                <c:pt idx="174">
                  <c:v>4.4139999999999997</c:v>
                </c:pt>
                <c:pt idx="175">
                  <c:v>4.4139999999999997</c:v>
                </c:pt>
                <c:pt idx="176">
                  <c:v>4.4059999999999997</c:v>
                </c:pt>
                <c:pt idx="177">
                  <c:v>4.4059999999999997</c:v>
                </c:pt>
                <c:pt idx="178">
                  <c:v>4.4059999999999997</c:v>
                </c:pt>
                <c:pt idx="179">
                  <c:v>4.4080000000000004</c:v>
                </c:pt>
                <c:pt idx="180">
                  <c:v>4.4180000000000001</c:v>
                </c:pt>
                <c:pt idx="181">
                  <c:v>4.4279999999999999</c:v>
                </c:pt>
                <c:pt idx="182">
                  <c:v>4.43</c:v>
                </c:pt>
                <c:pt idx="183">
                  <c:v>4.4539999999999997</c:v>
                </c:pt>
                <c:pt idx="184">
                  <c:v>4.492</c:v>
                </c:pt>
                <c:pt idx="185">
                  <c:v>4.5</c:v>
                </c:pt>
                <c:pt idx="186">
                  <c:v>4.5</c:v>
                </c:pt>
                <c:pt idx="187">
                  <c:v>4.5</c:v>
                </c:pt>
                <c:pt idx="188">
                  <c:v>4.5</c:v>
                </c:pt>
                <c:pt idx="189">
                  <c:v>4.5</c:v>
                </c:pt>
                <c:pt idx="190">
                  <c:v>4.5</c:v>
                </c:pt>
                <c:pt idx="191">
                  <c:v>4.5</c:v>
                </c:pt>
                <c:pt idx="192">
                  <c:v>4.5</c:v>
                </c:pt>
                <c:pt idx="193">
                  <c:v>4.5</c:v>
                </c:pt>
                <c:pt idx="194">
                  <c:v>4.5</c:v>
                </c:pt>
                <c:pt idx="195">
                  <c:v>4.5</c:v>
                </c:pt>
                <c:pt idx="196">
                  <c:v>4.5</c:v>
                </c:pt>
                <c:pt idx="197">
                  <c:v>4.4980000000000002</c:v>
                </c:pt>
                <c:pt idx="198">
                  <c:v>4.4880000000000004</c:v>
                </c:pt>
                <c:pt idx="199">
                  <c:v>4.4780000000000006</c:v>
                </c:pt>
                <c:pt idx="200">
                  <c:v>4.468</c:v>
                </c:pt>
                <c:pt idx="201">
                  <c:v>4.468</c:v>
                </c:pt>
                <c:pt idx="202">
                  <c:v>4.4780000000000006</c:v>
                </c:pt>
                <c:pt idx="203">
                  <c:v>4.4619999999999997</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4.4640000000000004</c:v>
                </c:pt>
                <c:pt idx="233">
                  <c:v>4.4380000000000006</c:v>
                </c:pt>
                <c:pt idx="234">
                  <c:v>4.43</c:v>
                </c:pt>
                <c:pt idx="235">
                  <c:v>4.4279999999999999</c:v>
                </c:pt>
                <c:pt idx="236">
                  <c:v>4.4180000000000001</c:v>
                </c:pt>
                <c:pt idx="237">
                  <c:v>4.41</c:v>
                </c:pt>
                <c:pt idx="238">
                  <c:v>4.4080000000000004</c:v>
                </c:pt>
                <c:pt idx="239">
                  <c:v>4.3959999999999999</c:v>
                </c:pt>
                <c:pt idx="240">
                  <c:v>4.3780000000000001</c:v>
                </c:pt>
                <c:pt idx="241">
                  <c:v>4.3659999999999997</c:v>
                </c:pt>
                <c:pt idx="242">
                  <c:v>4.3659999999999997</c:v>
                </c:pt>
                <c:pt idx="243">
                  <c:v>4.3659999999999997</c:v>
                </c:pt>
                <c:pt idx="244">
                  <c:v>4.3659999999999997</c:v>
                </c:pt>
                <c:pt idx="245">
                  <c:v>4.3780000000000001</c:v>
                </c:pt>
                <c:pt idx="246">
                  <c:v>4.3879999999999999</c:v>
                </c:pt>
                <c:pt idx="247">
                  <c:v>4.3879999999999999</c:v>
                </c:pt>
                <c:pt idx="248">
                  <c:v>4.3780000000000001</c:v>
                </c:pt>
                <c:pt idx="249">
                  <c:v>4.3780000000000001</c:v>
                </c:pt>
                <c:pt idx="250">
                  <c:v>4.3780000000000001</c:v>
                </c:pt>
                <c:pt idx="251">
                  <c:v>4.3879999999999999</c:v>
                </c:pt>
                <c:pt idx="252">
                  <c:v>4.3879999999999999</c:v>
                </c:pt>
                <c:pt idx="253">
                  <c:v>4.3879999999999999</c:v>
                </c:pt>
                <c:pt idx="254">
                  <c:v>4.3879999999999999</c:v>
                </c:pt>
                <c:pt idx="255">
                  <c:v>4.3879999999999999</c:v>
                </c:pt>
                <c:pt idx="256">
                  <c:v>4.3879999999999999</c:v>
                </c:pt>
                <c:pt idx="257">
                  <c:v>4.3879999999999999</c:v>
                </c:pt>
                <c:pt idx="258">
                  <c:v>4.3899999999999997</c:v>
                </c:pt>
                <c:pt idx="259">
                  <c:v>4.3980000000000006</c:v>
                </c:pt>
              </c:numCache>
            </c:numRef>
          </c:val>
          <c:smooth val="0"/>
          <c:extLst>
            <c:ext xmlns:c16="http://schemas.microsoft.com/office/drawing/2014/chart" uri="{C3380CC4-5D6E-409C-BE32-E72D297353CC}">
              <c16:uniqueId val="{00000001-5CE8-4C32-AE45-FEA433CBC5D2}"/>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_DASH_DATA!$T$2:$T$261</c:f>
              <c:numCache>
                <c:formatCode>General</c:formatCode>
                <c:ptCount val="260"/>
                <c:pt idx="0">
                  <c:v>0.72399999999999998</c:v>
                </c:pt>
                <c:pt idx="1">
                  <c:v>0.74399999999999999</c:v>
                </c:pt>
                <c:pt idx="2">
                  <c:v>0.76600000000000001</c:v>
                </c:pt>
                <c:pt idx="3">
                  <c:v>0.79800000000000004</c:v>
                </c:pt>
                <c:pt idx="4">
                  <c:v>0.83</c:v>
                </c:pt>
                <c:pt idx="5">
                  <c:v>0.83199999999999996</c:v>
                </c:pt>
                <c:pt idx="6">
                  <c:v>0.84199999999999997</c:v>
                </c:pt>
                <c:pt idx="7">
                  <c:v>0.85599999999999998</c:v>
                </c:pt>
                <c:pt idx="8">
                  <c:v>0.88200000000000001</c:v>
                </c:pt>
                <c:pt idx="9">
                  <c:v>0.89200000000000002</c:v>
                </c:pt>
                <c:pt idx="10">
                  <c:v>0.90600000000000003</c:v>
                </c:pt>
                <c:pt idx="11">
                  <c:v>0.93200000000000005</c:v>
                </c:pt>
                <c:pt idx="12">
                  <c:v>0.94199999999999995</c:v>
                </c:pt>
                <c:pt idx="13">
                  <c:v>0.95399999999999996</c:v>
                </c:pt>
                <c:pt idx="14">
                  <c:v>0.99600000000000011</c:v>
                </c:pt>
                <c:pt idx="15">
                  <c:v>1.1020000000000001</c:v>
                </c:pt>
                <c:pt idx="16">
                  <c:v>1.1100000000000001</c:v>
                </c:pt>
                <c:pt idx="17">
                  <c:v>1.1140000000000001</c:v>
                </c:pt>
                <c:pt idx="18">
                  <c:v>1.1419999999999999</c:v>
                </c:pt>
                <c:pt idx="19">
                  <c:v>1.1919999999999999</c:v>
                </c:pt>
                <c:pt idx="20">
                  <c:v>1.208</c:v>
                </c:pt>
                <c:pt idx="21">
                  <c:v>1.244</c:v>
                </c:pt>
                <c:pt idx="22">
                  <c:v>1.266</c:v>
                </c:pt>
                <c:pt idx="23">
                  <c:v>1.292</c:v>
                </c:pt>
                <c:pt idx="24">
                  <c:v>1.302</c:v>
                </c:pt>
                <c:pt idx="25">
                  <c:v>1.31</c:v>
                </c:pt>
                <c:pt idx="26">
                  <c:v>1.31</c:v>
                </c:pt>
                <c:pt idx="27">
                  <c:v>1.3140000000000001</c:v>
                </c:pt>
                <c:pt idx="28">
                  <c:v>1.3320000000000001</c:v>
                </c:pt>
                <c:pt idx="29">
                  <c:v>1.3420000000000001</c:v>
                </c:pt>
                <c:pt idx="30">
                  <c:v>1.35</c:v>
                </c:pt>
                <c:pt idx="31">
                  <c:v>1.3540000000000001</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1.3779999999999999</c:v>
                </c:pt>
                <c:pt idx="53">
                  <c:v>1.4179999999999999</c:v>
                </c:pt>
                <c:pt idx="54">
                  <c:v>1.454</c:v>
                </c:pt>
                <c:pt idx="55">
                  <c:v>1.472</c:v>
                </c:pt>
                <c:pt idx="56">
                  <c:v>1.48</c:v>
                </c:pt>
                <c:pt idx="57">
                  <c:v>1.48</c:v>
                </c:pt>
                <c:pt idx="58">
                  <c:v>1.484</c:v>
                </c:pt>
                <c:pt idx="59">
                  <c:v>1.504</c:v>
                </c:pt>
                <c:pt idx="60">
                  <c:v>1.524</c:v>
                </c:pt>
                <c:pt idx="61">
                  <c:v>1.542</c:v>
                </c:pt>
                <c:pt idx="62">
                  <c:v>1.556</c:v>
                </c:pt>
                <c:pt idx="63">
                  <c:v>1.5820000000000001</c:v>
                </c:pt>
                <c:pt idx="64">
                  <c:v>1.5940000000000001</c:v>
                </c:pt>
                <c:pt idx="65">
                  <c:v>1.6040000000000001</c:v>
                </c:pt>
                <c:pt idx="66">
                  <c:v>1.6759999999999999</c:v>
                </c:pt>
                <c:pt idx="67">
                  <c:v>1.742</c:v>
                </c:pt>
                <c:pt idx="68">
                  <c:v>1.752</c:v>
                </c:pt>
                <c:pt idx="69">
                  <c:v>1.764</c:v>
                </c:pt>
                <c:pt idx="70">
                  <c:v>1.78</c:v>
                </c:pt>
                <c:pt idx="71">
                  <c:v>1.8080000000000001</c:v>
                </c:pt>
                <c:pt idx="72">
                  <c:v>1.92</c:v>
                </c:pt>
                <c:pt idx="73">
                  <c:v>1.9219999999999999</c:v>
                </c:pt>
                <c:pt idx="74">
                  <c:v>1.9379999999999999</c:v>
                </c:pt>
                <c:pt idx="75">
                  <c:v>1.976</c:v>
                </c:pt>
                <c:pt idx="76">
                  <c:v>2.028</c:v>
                </c:pt>
                <c:pt idx="77">
                  <c:v>2.19</c:v>
                </c:pt>
                <c:pt idx="78">
                  <c:v>2.4079999999999999</c:v>
                </c:pt>
                <c:pt idx="79">
                  <c:v>2.5179999999999998</c:v>
                </c:pt>
                <c:pt idx="80">
                  <c:v>2.68</c:v>
                </c:pt>
                <c:pt idx="81">
                  <c:v>2.7240000000000002</c:v>
                </c:pt>
                <c:pt idx="82">
                  <c:v>2.746</c:v>
                </c:pt>
                <c:pt idx="83">
                  <c:v>2.7719999999999998</c:v>
                </c:pt>
                <c:pt idx="84">
                  <c:v>2.79</c:v>
                </c:pt>
                <c:pt idx="85">
                  <c:v>2.83</c:v>
                </c:pt>
                <c:pt idx="86">
                  <c:v>2.8319999999999999</c:v>
                </c:pt>
                <c:pt idx="87">
                  <c:v>2.8479999999999999</c:v>
                </c:pt>
                <c:pt idx="88">
                  <c:v>2.8820000000000001</c:v>
                </c:pt>
                <c:pt idx="89">
                  <c:v>2.8919999999999999</c:v>
                </c:pt>
                <c:pt idx="90">
                  <c:v>2.9060000000000001</c:v>
                </c:pt>
                <c:pt idx="91">
                  <c:v>2.93</c:v>
                </c:pt>
                <c:pt idx="92">
                  <c:v>2.9359999999999999</c:v>
                </c:pt>
                <c:pt idx="93">
                  <c:v>2.964</c:v>
                </c:pt>
                <c:pt idx="94">
                  <c:v>2.992</c:v>
                </c:pt>
                <c:pt idx="95">
                  <c:v>2.992</c:v>
                </c:pt>
                <c:pt idx="96">
                  <c:v>3.05</c:v>
                </c:pt>
                <c:pt idx="97">
                  <c:v>3.0979999999999999</c:v>
                </c:pt>
                <c:pt idx="98">
                  <c:v>3.1339999999999999</c:v>
                </c:pt>
                <c:pt idx="99">
                  <c:v>3.16</c:v>
                </c:pt>
                <c:pt idx="100">
                  <c:v>3.21</c:v>
                </c:pt>
                <c:pt idx="101">
                  <c:v>3.226</c:v>
                </c:pt>
                <c:pt idx="102">
                  <c:v>3.34</c:v>
                </c:pt>
                <c:pt idx="103">
                  <c:v>3.3820000000000001</c:v>
                </c:pt>
                <c:pt idx="104">
                  <c:v>3.39</c:v>
                </c:pt>
                <c:pt idx="105">
                  <c:v>3.4</c:v>
                </c:pt>
                <c:pt idx="106">
                  <c:v>3.44</c:v>
                </c:pt>
                <c:pt idx="107">
                  <c:v>3.4420000000000002</c:v>
                </c:pt>
                <c:pt idx="108">
                  <c:v>3.452</c:v>
                </c:pt>
                <c:pt idx="109">
                  <c:v>3.464</c:v>
                </c:pt>
                <c:pt idx="110">
                  <c:v>3.48</c:v>
                </c:pt>
                <c:pt idx="111">
                  <c:v>3.48</c:v>
                </c:pt>
                <c:pt idx="112">
                  <c:v>3.4820000000000002</c:v>
                </c:pt>
                <c:pt idx="113">
                  <c:v>3.4940000000000002</c:v>
                </c:pt>
                <c:pt idx="114">
                  <c:v>3.512</c:v>
                </c:pt>
                <c:pt idx="115">
                  <c:v>3.512</c:v>
                </c:pt>
                <c:pt idx="116">
                  <c:v>3.512</c:v>
                </c:pt>
                <c:pt idx="117">
                  <c:v>3.512</c:v>
                </c:pt>
                <c:pt idx="118">
                  <c:v>3.512</c:v>
                </c:pt>
                <c:pt idx="119">
                  <c:v>3.512</c:v>
                </c:pt>
                <c:pt idx="120">
                  <c:v>3.512</c:v>
                </c:pt>
                <c:pt idx="121">
                  <c:v>3.512</c:v>
                </c:pt>
                <c:pt idx="122">
                  <c:v>3.512</c:v>
                </c:pt>
                <c:pt idx="123">
                  <c:v>3.512</c:v>
                </c:pt>
                <c:pt idx="124">
                  <c:v>3.512</c:v>
                </c:pt>
                <c:pt idx="125">
                  <c:v>3.52</c:v>
                </c:pt>
                <c:pt idx="126">
                  <c:v>3.52</c:v>
                </c:pt>
                <c:pt idx="127">
                  <c:v>3.5219999999999998</c:v>
                </c:pt>
                <c:pt idx="128">
                  <c:v>3.5219999999999998</c:v>
                </c:pt>
                <c:pt idx="129">
                  <c:v>3.5219999999999998</c:v>
                </c:pt>
                <c:pt idx="130">
                  <c:v>3.5219999999999998</c:v>
                </c:pt>
                <c:pt idx="131">
                  <c:v>3.5379999999999998</c:v>
                </c:pt>
                <c:pt idx="132">
                  <c:v>3.5939999999999999</c:v>
                </c:pt>
                <c:pt idx="133">
                  <c:v>3.6920000000000002</c:v>
                </c:pt>
                <c:pt idx="134">
                  <c:v>3.7</c:v>
                </c:pt>
                <c:pt idx="135">
                  <c:v>3.7</c:v>
                </c:pt>
                <c:pt idx="136">
                  <c:v>3.7</c:v>
                </c:pt>
                <c:pt idx="137">
                  <c:v>3.7</c:v>
                </c:pt>
                <c:pt idx="138">
                  <c:v>3.7</c:v>
                </c:pt>
                <c:pt idx="139">
                  <c:v>3.7080000000000002</c:v>
                </c:pt>
                <c:pt idx="140">
                  <c:v>3.742</c:v>
                </c:pt>
                <c:pt idx="141">
                  <c:v>3.754</c:v>
                </c:pt>
                <c:pt idx="142">
                  <c:v>3.7759999999999998</c:v>
                </c:pt>
                <c:pt idx="143">
                  <c:v>3.802</c:v>
                </c:pt>
                <c:pt idx="144">
                  <c:v>3.8140000000000001</c:v>
                </c:pt>
                <c:pt idx="145">
                  <c:v>3.8319999999999999</c:v>
                </c:pt>
                <c:pt idx="146">
                  <c:v>3.8479999999999999</c:v>
                </c:pt>
                <c:pt idx="147">
                  <c:v>3.8839999999999999</c:v>
                </c:pt>
                <c:pt idx="148">
                  <c:v>3.9020000000000001</c:v>
                </c:pt>
                <c:pt idx="149">
                  <c:v>3.92</c:v>
                </c:pt>
                <c:pt idx="150">
                  <c:v>3.96</c:v>
                </c:pt>
                <c:pt idx="151">
                  <c:v>3.9740000000000002</c:v>
                </c:pt>
                <c:pt idx="152">
                  <c:v>4.0339999999999998</c:v>
                </c:pt>
                <c:pt idx="153">
                  <c:v>4.05</c:v>
                </c:pt>
                <c:pt idx="154">
                  <c:v>4.0519999999999996</c:v>
                </c:pt>
                <c:pt idx="155">
                  <c:v>4.0659999999999998</c:v>
                </c:pt>
                <c:pt idx="156">
                  <c:v>4.1020000000000003</c:v>
                </c:pt>
                <c:pt idx="157">
                  <c:v>4.1500000000000004</c:v>
                </c:pt>
                <c:pt idx="158">
                  <c:v>4.1520000000000001</c:v>
                </c:pt>
                <c:pt idx="159">
                  <c:v>4.1619999999999999</c:v>
                </c:pt>
                <c:pt idx="160">
                  <c:v>4.1619999999999999</c:v>
                </c:pt>
                <c:pt idx="161">
                  <c:v>4.1539999999999999</c:v>
                </c:pt>
                <c:pt idx="162">
                  <c:v>4.1500000000000004</c:v>
                </c:pt>
                <c:pt idx="163">
                  <c:v>4.1020000000000003</c:v>
                </c:pt>
                <c:pt idx="164">
                  <c:v>4.0579999999999998</c:v>
                </c:pt>
                <c:pt idx="165">
                  <c:v>4.0339999999999998</c:v>
                </c:pt>
                <c:pt idx="166">
                  <c:v>3.9740000000000002</c:v>
                </c:pt>
                <c:pt idx="167">
                  <c:v>3.944</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3.944</c:v>
                </c:pt>
                <c:pt idx="180">
                  <c:v>3.964</c:v>
                </c:pt>
                <c:pt idx="181">
                  <c:v>3.99</c:v>
                </c:pt>
                <c:pt idx="182">
                  <c:v>3.99</c:v>
                </c:pt>
                <c:pt idx="183">
                  <c:v>4.04</c:v>
                </c:pt>
                <c:pt idx="184">
                  <c:v>4.04</c:v>
                </c:pt>
                <c:pt idx="185">
                  <c:v>4.04</c:v>
                </c:pt>
                <c:pt idx="186">
                  <c:v>4.08</c:v>
                </c:pt>
                <c:pt idx="187">
                  <c:v>4.08</c:v>
                </c:pt>
                <c:pt idx="188">
                  <c:v>4.08</c:v>
                </c:pt>
                <c:pt idx="189">
                  <c:v>4.08</c:v>
                </c:pt>
                <c:pt idx="190">
                  <c:v>4.08</c:v>
                </c:pt>
                <c:pt idx="191">
                  <c:v>4.08</c:v>
                </c:pt>
                <c:pt idx="192">
                  <c:v>4.08</c:v>
                </c:pt>
                <c:pt idx="193">
                  <c:v>4.08</c:v>
                </c:pt>
                <c:pt idx="194">
                  <c:v>4.08</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4.08</c:v>
                </c:pt>
                <c:pt idx="213">
                  <c:v>4.0940000000000003</c:v>
                </c:pt>
                <c:pt idx="214">
                  <c:v>4.1560000000000006</c:v>
                </c:pt>
                <c:pt idx="215">
                  <c:v>4.1900000000000004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4.2060000000000004</c:v>
                </c:pt>
                <c:pt idx="225">
                  <c:v>4.1840000000000002</c:v>
                </c:pt>
                <c:pt idx="226">
                  <c:v>4.1560000000000006</c:v>
                </c:pt>
                <c:pt idx="227">
                  <c:v>4.1419999999999986</c:v>
                </c:pt>
                <c:pt idx="228">
                  <c:v>4.1399999999999997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4.1139999999999999</c:v>
                </c:pt>
                <c:pt idx="241">
                  <c:v>4.1100000000000003</c:v>
                </c:pt>
                <c:pt idx="242">
                  <c:v>4.1019999999999994</c:v>
                </c:pt>
                <c:pt idx="243">
                  <c:v>4.1019999999999994</c:v>
                </c:pt>
                <c:pt idx="244">
                  <c:v>4.1019999999999994</c:v>
                </c:pt>
                <c:pt idx="245">
                  <c:v>4.1019999999999994</c:v>
                </c:pt>
                <c:pt idx="246">
                  <c:v>4.1019999999999994</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5CE8-4C32-AE45-FEA433CBC5D2}"/>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_DASH_DATA!$U$2:$U$261</c:f>
              <c:numCache>
                <c:formatCode>General</c:formatCode>
                <c:ptCount val="260"/>
                <c:pt idx="259">
                  <c:v>4.4000000000000004</c:v>
                </c:pt>
              </c:numCache>
            </c:numRef>
          </c:val>
          <c:smooth val="0"/>
          <c:extLst>
            <c:ext xmlns:c16="http://schemas.microsoft.com/office/drawing/2014/chart" uri="{C3380CC4-5D6E-409C-BE32-E72D297353CC}">
              <c16:uniqueId val="{00000003-5CE8-4C32-AE45-FEA433CBC5D2}"/>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_DASH_DATA!$Y$2:$Y$261</c:f>
              <c:numCache>
                <c:formatCode>General</c:formatCode>
                <c:ptCount val="260"/>
                <c:pt idx="0">
                  <c:v>2.2799999999999998</c:v>
                </c:pt>
                <c:pt idx="1">
                  <c:v>2.33</c:v>
                </c:pt>
                <c:pt idx="2">
                  <c:v>2.35</c:v>
                </c:pt>
                <c:pt idx="3">
                  <c:v>2.4</c:v>
                </c:pt>
                <c:pt idx="4">
                  <c:v>2.37</c:v>
                </c:pt>
                <c:pt idx="5">
                  <c:v>2.37</c:v>
                </c:pt>
                <c:pt idx="6">
                  <c:v>2.27</c:v>
                </c:pt>
                <c:pt idx="7">
                  <c:v>2.39</c:v>
                </c:pt>
                <c:pt idx="8">
                  <c:v>2.34</c:v>
                </c:pt>
                <c:pt idx="9">
                  <c:v>2.4</c:v>
                </c:pt>
                <c:pt idx="10">
                  <c:v>2.33</c:v>
                </c:pt>
                <c:pt idx="11">
                  <c:v>2.34</c:v>
                </c:pt>
                <c:pt idx="12">
                  <c:v>2.38</c:v>
                </c:pt>
                <c:pt idx="13">
                  <c:v>2.5</c:v>
                </c:pt>
                <c:pt idx="14">
                  <c:v>2.56</c:v>
                </c:pt>
                <c:pt idx="15">
                  <c:v>2.64</c:v>
                </c:pt>
                <c:pt idx="16">
                  <c:v>2.5099999999999998</c:v>
                </c:pt>
                <c:pt idx="17">
                  <c:v>2.54</c:v>
                </c:pt>
                <c:pt idx="18">
                  <c:v>2.73</c:v>
                </c:pt>
                <c:pt idx="19">
                  <c:v>2.65</c:v>
                </c:pt>
                <c:pt idx="20">
                  <c:v>2.5499999999999998</c:v>
                </c:pt>
                <c:pt idx="21">
                  <c:v>2.4300000000000002</c:v>
                </c:pt>
                <c:pt idx="22">
                  <c:v>2.44</c:v>
                </c:pt>
                <c:pt idx="23">
                  <c:v>2.38</c:v>
                </c:pt>
                <c:pt idx="24">
                  <c:v>2.4700000000000002</c:v>
                </c:pt>
                <c:pt idx="25">
                  <c:v>2.56</c:v>
                </c:pt>
                <c:pt idx="26">
                  <c:v>2.48</c:v>
                </c:pt>
                <c:pt idx="27">
                  <c:v>2.44</c:v>
                </c:pt>
                <c:pt idx="28">
                  <c:v>2.34</c:v>
                </c:pt>
                <c:pt idx="29">
                  <c:v>2.44</c:v>
                </c:pt>
                <c:pt idx="30">
                  <c:v>2.41</c:v>
                </c:pt>
                <c:pt idx="31">
                  <c:v>2.4300000000000002</c:v>
                </c:pt>
                <c:pt idx="32">
                  <c:v>2.41</c:v>
                </c:pt>
                <c:pt idx="33">
                  <c:v>2.54</c:v>
                </c:pt>
                <c:pt idx="34">
                  <c:v>2.67</c:v>
                </c:pt>
                <c:pt idx="35">
                  <c:v>2.94</c:v>
                </c:pt>
                <c:pt idx="36">
                  <c:v>2.86</c:v>
                </c:pt>
                <c:pt idx="37">
                  <c:v>2.95</c:v>
                </c:pt>
                <c:pt idx="38">
                  <c:v>2.8</c:v>
                </c:pt>
                <c:pt idx="39">
                  <c:v>2.87</c:v>
                </c:pt>
                <c:pt idx="40">
                  <c:v>2.89</c:v>
                </c:pt>
                <c:pt idx="41">
                  <c:v>2.98</c:v>
                </c:pt>
                <c:pt idx="42">
                  <c:v>2.88</c:v>
                </c:pt>
                <c:pt idx="43">
                  <c:v>2.86</c:v>
                </c:pt>
                <c:pt idx="44">
                  <c:v>2.69</c:v>
                </c:pt>
                <c:pt idx="45">
                  <c:v>2.5499999999999998</c:v>
                </c:pt>
                <c:pt idx="46">
                  <c:v>2.63</c:v>
                </c:pt>
                <c:pt idx="47">
                  <c:v>2.74</c:v>
                </c:pt>
                <c:pt idx="48">
                  <c:v>2.76</c:v>
                </c:pt>
                <c:pt idx="49">
                  <c:v>2.58</c:v>
                </c:pt>
                <c:pt idx="50">
                  <c:v>2.56</c:v>
                </c:pt>
                <c:pt idx="51">
                  <c:v>2.34</c:v>
                </c:pt>
                <c:pt idx="52">
                  <c:v>2.37</c:v>
                </c:pt>
                <c:pt idx="53">
                  <c:v>2.36</c:v>
                </c:pt>
                <c:pt idx="54">
                  <c:v>2.34</c:v>
                </c:pt>
                <c:pt idx="55">
                  <c:v>2.5299999999999998</c:v>
                </c:pt>
                <c:pt idx="56">
                  <c:v>2.46</c:v>
                </c:pt>
                <c:pt idx="57">
                  <c:v>2.4700000000000002</c:v>
                </c:pt>
                <c:pt idx="58">
                  <c:v>2.5499999999999998</c:v>
                </c:pt>
                <c:pt idx="59">
                  <c:v>2.57</c:v>
                </c:pt>
                <c:pt idx="60">
                  <c:v>2.4700000000000002</c:v>
                </c:pt>
                <c:pt idx="61">
                  <c:v>2.42</c:v>
                </c:pt>
                <c:pt idx="62">
                  <c:v>2.38</c:v>
                </c:pt>
                <c:pt idx="63">
                  <c:v>2.37</c:v>
                </c:pt>
                <c:pt idx="64">
                  <c:v>2.15</c:v>
                </c:pt>
                <c:pt idx="65">
                  <c:v>2.27</c:v>
                </c:pt>
                <c:pt idx="66">
                  <c:v>2.41</c:v>
                </c:pt>
                <c:pt idx="67">
                  <c:v>2.52</c:v>
                </c:pt>
                <c:pt idx="68">
                  <c:v>2.5099999999999998</c:v>
                </c:pt>
                <c:pt idx="69">
                  <c:v>2.48</c:v>
                </c:pt>
                <c:pt idx="70">
                  <c:v>2.39</c:v>
                </c:pt>
                <c:pt idx="71">
                  <c:v>2.25</c:v>
                </c:pt>
                <c:pt idx="72">
                  <c:v>2.3199999999999998</c:v>
                </c:pt>
                <c:pt idx="73">
                  <c:v>2.4300000000000002</c:v>
                </c:pt>
                <c:pt idx="74">
                  <c:v>2.2599999999999998</c:v>
                </c:pt>
                <c:pt idx="75">
                  <c:v>2.13</c:v>
                </c:pt>
                <c:pt idx="76">
                  <c:v>2.2000000000000002</c:v>
                </c:pt>
                <c:pt idx="77">
                  <c:v>2.2999999999999998</c:v>
                </c:pt>
                <c:pt idx="78">
                  <c:v>2.21</c:v>
                </c:pt>
                <c:pt idx="79">
                  <c:v>2.1800000000000002</c:v>
                </c:pt>
                <c:pt idx="80">
                  <c:v>2.23</c:v>
                </c:pt>
                <c:pt idx="81">
                  <c:v>2.33</c:v>
                </c:pt>
                <c:pt idx="82">
                  <c:v>2.2200000000000002</c:v>
                </c:pt>
                <c:pt idx="83">
                  <c:v>2.33</c:v>
                </c:pt>
                <c:pt idx="84">
                  <c:v>2.36</c:v>
                </c:pt>
                <c:pt idx="85">
                  <c:v>2.38</c:v>
                </c:pt>
                <c:pt idx="86">
                  <c:v>2.52</c:v>
                </c:pt>
                <c:pt idx="87">
                  <c:v>2.2599999999999998</c:v>
                </c:pt>
                <c:pt idx="88">
                  <c:v>2.1</c:v>
                </c:pt>
                <c:pt idx="89">
                  <c:v>2.2200000000000002</c:v>
                </c:pt>
                <c:pt idx="90">
                  <c:v>2.3199999999999998</c:v>
                </c:pt>
                <c:pt idx="91">
                  <c:v>2.25</c:v>
                </c:pt>
                <c:pt idx="92">
                  <c:v>2.2999999999999998</c:v>
                </c:pt>
                <c:pt idx="93">
                  <c:v>2.2799999999999998</c:v>
                </c:pt>
                <c:pt idx="94">
                  <c:v>2.1800000000000002</c:v>
                </c:pt>
                <c:pt idx="95">
                  <c:v>2.21</c:v>
                </c:pt>
                <c:pt idx="96">
                  <c:v>2.1800000000000002</c:v>
                </c:pt>
                <c:pt idx="97">
                  <c:v>2.2400000000000002</c:v>
                </c:pt>
                <c:pt idx="98">
                  <c:v>2.23</c:v>
                </c:pt>
                <c:pt idx="99">
                  <c:v>2.1800000000000002</c:v>
                </c:pt>
                <c:pt idx="100">
                  <c:v>2.2000000000000002</c:v>
                </c:pt>
                <c:pt idx="101">
                  <c:v>2.2200000000000002</c:v>
                </c:pt>
                <c:pt idx="102">
                  <c:v>2.21</c:v>
                </c:pt>
                <c:pt idx="103">
                  <c:v>2.2200000000000002</c:v>
                </c:pt>
                <c:pt idx="104">
                  <c:v>2.27</c:v>
                </c:pt>
                <c:pt idx="105">
                  <c:v>2.2400000000000002</c:v>
                </c:pt>
                <c:pt idx="106">
                  <c:v>2.35</c:v>
                </c:pt>
                <c:pt idx="107">
                  <c:v>2.38</c:v>
                </c:pt>
                <c:pt idx="108">
                  <c:v>2.38</c:v>
                </c:pt>
                <c:pt idx="109">
                  <c:v>2.36</c:v>
                </c:pt>
                <c:pt idx="110">
                  <c:v>2.3199999999999998</c:v>
                </c:pt>
                <c:pt idx="111">
                  <c:v>2.33</c:v>
                </c:pt>
                <c:pt idx="112">
                  <c:v>2.2599999999999998</c:v>
                </c:pt>
                <c:pt idx="113">
                  <c:v>2.33</c:v>
                </c:pt>
                <c:pt idx="114">
                  <c:v>2.35</c:v>
                </c:pt>
                <c:pt idx="115">
                  <c:v>2.37</c:v>
                </c:pt>
                <c:pt idx="116">
                  <c:v>2.35</c:v>
                </c:pt>
                <c:pt idx="117">
                  <c:v>2.31</c:v>
                </c:pt>
                <c:pt idx="118">
                  <c:v>2.34</c:v>
                </c:pt>
                <c:pt idx="119">
                  <c:v>2.4700000000000002</c:v>
                </c:pt>
                <c:pt idx="120">
                  <c:v>2.42</c:v>
                </c:pt>
                <c:pt idx="121">
                  <c:v>2.39</c:v>
                </c:pt>
                <c:pt idx="122">
                  <c:v>2.3199999999999998</c:v>
                </c:pt>
                <c:pt idx="123">
                  <c:v>2.2799999999999998</c:v>
                </c:pt>
                <c:pt idx="124">
                  <c:v>2.2599999999999998</c:v>
                </c:pt>
                <c:pt idx="125">
                  <c:v>2.2200000000000002</c:v>
                </c:pt>
                <c:pt idx="126">
                  <c:v>2.21</c:v>
                </c:pt>
                <c:pt idx="127">
                  <c:v>2.2200000000000002</c:v>
                </c:pt>
                <c:pt idx="128">
                  <c:v>2.19</c:v>
                </c:pt>
                <c:pt idx="129">
                  <c:v>2.16</c:v>
                </c:pt>
                <c:pt idx="130">
                  <c:v>2.2200000000000002</c:v>
                </c:pt>
                <c:pt idx="131">
                  <c:v>2.27</c:v>
                </c:pt>
                <c:pt idx="132">
                  <c:v>2.34</c:v>
                </c:pt>
                <c:pt idx="133">
                  <c:v>2.2999999999999998</c:v>
                </c:pt>
                <c:pt idx="134">
                  <c:v>2.21</c:v>
                </c:pt>
                <c:pt idx="135">
                  <c:v>2.25</c:v>
                </c:pt>
                <c:pt idx="136">
                  <c:v>2.33</c:v>
                </c:pt>
                <c:pt idx="137">
                  <c:v>2.2999999999999998</c:v>
                </c:pt>
                <c:pt idx="138">
                  <c:v>2.3199999999999998</c:v>
                </c:pt>
                <c:pt idx="139">
                  <c:v>2.2799999999999998</c:v>
                </c:pt>
                <c:pt idx="140">
                  <c:v>2.3199999999999998</c:v>
                </c:pt>
                <c:pt idx="141">
                  <c:v>2.35</c:v>
                </c:pt>
                <c:pt idx="142">
                  <c:v>2.3199999999999998</c:v>
                </c:pt>
                <c:pt idx="143">
                  <c:v>2.37</c:v>
                </c:pt>
                <c:pt idx="144">
                  <c:v>2.39</c:v>
                </c:pt>
                <c:pt idx="145">
                  <c:v>2.41</c:v>
                </c:pt>
                <c:pt idx="146">
                  <c:v>2.4300000000000002</c:v>
                </c:pt>
                <c:pt idx="147">
                  <c:v>2.35</c:v>
                </c:pt>
                <c:pt idx="148">
                  <c:v>2.34</c:v>
                </c:pt>
                <c:pt idx="149">
                  <c:v>2.3199999999999998</c:v>
                </c:pt>
                <c:pt idx="150">
                  <c:v>2.3199999999999998</c:v>
                </c:pt>
                <c:pt idx="151">
                  <c:v>2.35</c:v>
                </c:pt>
                <c:pt idx="152">
                  <c:v>2.2999999999999998</c:v>
                </c:pt>
                <c:pt idx="153">
                  <c:v>2.17</c:v>
                </c:pt>
                <c:pt idx="154">
                  <c:v>2.23</c:v>
                </c:pt>
                <c:pt idx="155">
                  <c:v>2.2799999999999998</c:v>
                </c:pt>
                <c:pt idx="156">
                  <c:v>2.2799999999999998</c:v>
                </c:pt>
                <c:pt idx="157">
                  <c:v>2.2400000000000002</c:v>
                </c:pt>
                <c:pt idx="158">
                  <c:v>2.3199999999999998</c:v>
                </c:pt>
                <c:pt idx="159">
                  <c:v>2.27</c:v>
                </c:pt>
                <c:pt idx="160">
                  <c:v>2.04</c:v>
                </c:pt>
                <c:pt idx="161">
                  <c:v>2.1</c:v>
                </c:pt>
                <c:pt idx="162">
                  <c:v>2.08</c:v>
                </c:pt>
                <c:pt idx="163">
                  <c:v>2.13</c:v>
                </c:pt>
                <c:pt idx="164">
                  <c:v>2.15</c:v>
                </c:pt>
                <c:pt idx="165">
                  <c:v>2.0299999999999998</c:v>
                </c:pt>
                <c:pt idx="166">
                  <c:v>2.08</c:v>
                </c:pt>
                <c:pt idx="167">
                  <c:v>2.15</c:v>
                </c:pt>
                <c:pt idx="168">
                  <c:v>2.15</c:v>
                </c:pt>
                <c:pt idx="169">
                  <c:v>2.23</c:v>
                </c:pt>
                <c:pt idx="170">
                  <c:v>2.33</c:v>
                </c:pt>
                <c:pt idx="171">
                  <c:v>2.31</c:v>
                </c:pt>
                <c:pt idx="172">
                  <c:v>2.29</c:v>
                </c:pt>
                <c:pt idx="173">
                  <c:v>2.33</c:v>
                </c:pt>
                <c:pt idx="174">
                  <c:v>2.35</c:v>
                </c:pt>
                <c:pt idx="175">
                  <c:v>2.33</c:v>
                </c:pt>
                <c:pt idx="176">
                  <c:v>2.34</c:v>
                </c:pt>
                <c:pt idx="177">
                  <c:v>2.2599999999999998</c:v>
                </c:pt>
                <c:pt idx="178">
                  <c:v>2.2400000000000002</c:v>
                </c:pt>
                <c:pt idx="179">
                  <c:v>2.33</c:v>
                </c:pt>
                <c:pt idx="180">
                  <c:v>2.29</c:v>
                </c:pt>
                <c:pt idx="181">
                  <c:v>2.34</c:v>
                </c:pt>
                <c:pt idx="182">
                  <c:v>2.34</c:v>
                </c:pt>
                <c:pt idx="183">
                  <c:v>2.4300000000000002</c:v>
                </c:pt>
                <c:pt idx="184">
                  <c:v>2.41</c:v>
                </c:pt>
                <c:pt idx="185">
                  <c:v>2.4300000000000002</c:v>
                </c:pt>
                <c:pt idx="186">
                  <c:v>2.42</c:v>
                </c:pt>
                <c:pt idx="187">
                  <c:v>2.42</c:v>
                </c:pt>
                <c:pt idx="188">
                  <c:v>2.4300000000000002</c:v>
                </c:pt>
                <c:pt idx="189">
                  <c:v>2.42</c:v>
                </c:pt>
                <c:pt idx="190">
                  <c:v>2.38</c:v>
                </c:pt>
                <c:pt idx="191">
                  <c:v>2.33</c:v>
                </c:pt>
                <c:pt idx="192">
                  <c:v>2.2999999999999998</c:v>
                </c:pt>
                <c:pt idx="193">
                  <c:v>2.33</c:v>
                </c:pt>
                <c:pt idx="194">
                  <c:v>2.37</c:v>
                </c:pt>
                <c:pt idx="195">
                  <c:v>2.1800000000000002</c:v>
                </c:pt>
                <c:pt idx="196">
                  <c:v>2.2000000000000002</c:v>
                </c:pt>
                <c:pt idx="197">
                  <c:v>2.23</c:v>
                </c:pt>
                <c:pt idx="198">
                  <c:v>2.27</c:v>
                </c:pt>
                <c:pt idx="199">
                  <c:v>2.27</c:v>
                </c:pt>
                <c:pt idx="200">
                  <c:v>2.29</c:v>
                </c:pt>
                <c:pt idx="201">
                  <c:v>2.34</c:v>
                </c:pt>
                <c:pt idx="202">
                  <c:v>2.33</c:v>
                </c:pt>
                <c:pt idx="203">
                  <c:v>2.34</c:v>
                </c:pt>
                <c:pt idx="204">
                  <c:v>2.31</c:v>
                </c:pt>
                <c:pt idx="205">
                  <c:v>2.2799999999999998</c:v>
                </c:pt>
                <c:pt idx="206">
                  <c:v>2.33</c:v>
                </c:pt>
                <c:pt idx="207">
                  <c:v>2.29</c:v>
                </c:pt>
                <c:pt idx="208">
                  <c:v>2.33</c:v>
                </c:pt>
                <c:pt idx="209">
                  <c:v>2.37</c:v>
                </c:pt>
                <c:pt idx="210">
                  <c:v>2.41</c:v>
                </c:pt>
                <c:pt idx="211">
                  <c:v>2.44</c:v>
                </c:pt>
                <c:pt idx="212">
                  <c:v>2.33</c:v>
                </c:pt>
                <c:pt idx="213">
                  <c:v>2.39</c:v>
                </c:pt>
                <c:pt idx="214">
                  <c:v>2.38</c:v>
                </c:pt>
                <c:pt idx="215">
                  <c:v>2.41</c:v>
                </c:pt>
                <c:pt idx="216">
                  <c:v>2.41</c:v>
                </c:pt>
                <c:pt idx="217">
                  <c:v>2.37</c:v>
                </c:pt>
                <c:pt idx="218">
                  <c:v>2.36</c:v>
                </c:pt>
                <c:pt idx="219">
                  <c:v>2.39</c:v>
                </c:pt>
                <c:pt idx="220">
                  <c:v>2.38</c:v>
                </c:pt>
                <c:pt idx="221">
                  <c:v>2.33</c:v>
                </c:pt>
                <c:pt idx="222">
                  <c:v>2.2999999999999998</c:v>
                </c:pt>
                <c:pt idx="223">
                  <c:v>2.27</c:v>
                </c:pt>
                <c:pt idx="224">
                  <c:v>2.29</c:v>
                </c:pt>
                <c:pt idx="225">
                  <c:v>2.2999999999999998</c:v>
                </c:pt>
                <c:pt idx="226">
                  <c:v>2.2799999999999998</c:v>
                </c:pt>
                <c:pt idx="227">
                  <c:v>2.2799999999999998</c:v>
                </c:pt>
                <c:pt idx="228">
                  <c:v>2.2400000000000002</c:v>
                </c:pt>
                <c:pt idx="229">
                  <c:v>2.23</c:v>
                </c:pt>
                <c:pt idx="230">
                  <c:v>2.2599999999999998</c:v>
                </c:pt>
                <c:pt idx="231">
                  <c:v>2.2599999999999998</c:v>
                </c:pt>
                <c:pt idx="232">
                  <c:v>2.2400000000000002</c:v>
                </c:pt>
                <c:pt idx="233">
                  <c:v>2.23</c:v>
                </c:pt>
                <c:pt idx="234">
                  <c:v>2.25</c:v>
                </c:pt>
                <c:pt idx="235">
                  <c:v>2.2799999999999998</c:v>
                </c:pt>
                <c:pt idx="236">
                  <c:v>2.33</c:v>
                </c:pt>
                <c:pt idx="237">
                  <c:v>2.3199999999999998</c:v>
                </c:pt>
                <c:pt idx="238">
                  <c:v>2.36</c:v>
                </c:pt>
                <c:pt idx="239">
                  <c:v>2.34</c:v>
                </c:pt>
                <c:pt idx="240">
                  <c:v>2.27</c:v>
                </c:pt>
                <c:pt idx="241">
                  <c:v>2.2799999999999998</c:v>
                </c:pt>
                <c:pt idx="242">
                  <c:v>2.25</c:v>
                </c:pt>
                <c:pt idx="243">
                  <c:v>2.35</c:v>
                </c:pt>
                <c:pt idx="244">
                  <c:v>2.36</c:v>
                </c:pt>
                <c:pt idx="245">
                  <c:v>2.38</c:v>
                </c:pt>
                <c:pt idx="246">
                  <c:v>2.31</c:v>
                </c:pt>
                <c:pt idx="247">
                  <c:v>2.36</c:v>
                </c:pt>
                <c:pt idx="248">
                  <c:v>2.36</c:v>
                </c:pt>
                <c:pt idx="249">
                  <c:v>2.36</c:v>
                </c:pt>
                <c:pt idx="250">
                  <c:v>2.42</c:v>
                </c:pt>
                <c:pt idx="251">
                  <c:v>2.48</c:v>
                </c:pt>
                <c:pt idx="252">
                  <c:v>2.4500000000000002</c:v>
                </c:pt>
                <c:pt idx="253">
                  <c:v>2.4900000000000002</c:v>
                </c:pt>
                <c:pt idx="254">
                  <c:v>2.4</c:v>
                </c:pt>
                <c:pt idx="255">
                  <c:v>2.38</c:v>
                </c:pt>
                <c:pt idx="256">
                  <c:v>2.36</c:v>
                </c:pt>
                <c:pt idx="257">
                  <c:v>2.31</c:v>
                </c:pt>
                <c:pt idx="258">
                  <c:v>2.25</c:v>
                </c:pt>
                <c:pt idx="259">
                  <c:v>2.2000000000000002</c:v>
                </c:pt>
              </c:numCache>
            </c:numRef>
          </c:val>
          <c:smooth val="0"/>
          <c:extLst>
            <c:ext xmlns:c16="http://schemas.microsoft.com/office/drawing/2014/chart" uri="{C3380CC4-5D6E-409C-BE32-E72D297353CC}">
              <c16:uniqueId val="{00000000-0583-4A6C-BC3E-73EE0826FEC5}"/>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_DASH_DATA!$Z$2:$Z$261</c:f>
              <c:numCache>
                <c:formatCode>General</c:formatCode>
                <c:ptCount val="260"/>
                <c:pt idx="0">
                  <c:v>2.3380000000000001</c:v>
                </c:pt>
                <c:pt idx="1">
                  <c:v>2.3380000000000001</c:v>
                </c:pt>
                <c:pt idx="2">
                  <c:v>2.34</c:v>
                </c:pt>
                <c:pt idx="3">
                  <c:v>2.34</c:v>
                </c:pt>
                <c:pt idx="4">
                  <c:v>2.3479999999999999</c:v>
                </c:pt>
                <c:pt idx="5">
                  <c:v>2.3580000000000001</c:v>
                </c:pt>
                <c:pt idx="6">
                  <c:v>2.3580000000000001</c:v>
                </c:pt>
                <c:pt idx="7">
                  <c:v>2.36</c:v>
                </c:pt>
                <c:pt idx="8">
                  <c:v>2.36</c:v>
                </c:pt>
                <c:pt idx="9">
                  <c:v>2.3679999999999999</c:v>
                </c:pt>
                <c:pt idx="10">
                  <c:v>2.3679999999999999</c:v>
                </c:pt>
                <c:pt idx="11">
                  <c:v>2.3679999999999999</c:v>
                </c:pt>
                <c:pt idx="12">
                  <c:v>2.37</c:v>
                </c:pt>
                <c:pt idx="13">
                  <c:v>2.3780000000000001</c:v>
                </c:pt>
                <c:pt idx="14">
                  <c:v>2.3879999999999999</c:v>
                </c:pt>
                <c:pt idx="15">
                  <c:v>2.3980000000000001</c:v>
                </c:pt>
                <c:pt idx="16">
                  <c:v>2.4</c:v>
                </c:pt>
                <c:pt idx="17">
                  <c:v>2.4</c:v>
                </c:pt>
                <c:pt idx="18">
                  <c:v>2.4079999999999999</c:v>
                </c:pt>
                <c:pt idx="19">
                  <c:v>2.4180000000000001</c:v>
                </c:pt>
                <c:pt idx="20">
                  <c:v>2.4279999999999999</c:v>
                </c:pt>
                <c:pt idx="21">
                  <c:v>2.4300000000000002</c:v>
                </c:pt>
                <c:pt idx="22">
                  <c:v>2.4380000000000002</c:v>
                </c:pt>
                <c:pt idx="23">
                  <c:v>2.4380000000000002</c:v>
                </c:pt>
                <c:pt idx="24">
                  <c:v>2.464</c:v>
                </c:pt>
                <c:pt idx="25">
                  <c:v>2.4860000000000002</c:v>
                </c:pt>
                <c:pt idx="26">
                  <c:v>2.488</c:v>
                </c:pt>
                <c:pt idx="27">
                  <c:v>2.488</c:v>
                </c:pt>
                <c:pt idx="28">
                  <c:v>2.488</c:v>
                </c:pt>
                <c:pt idx="29">
                  <c:v>2.488</c:v>
                </c:pt>
                <c:pt idx="30">
                  <c:v>2.488</c:v>
                </c:pt>
                <c:pt idx="31">
                  <c:v>2.488</c:v>
                </c:pt>
                <c:pt idx="32">
                  <c:v>2.488</c:v>
                </c:pt>
                <c:pt idx="33">
                  <c:v>2.4980000000000002</c:v>
                </c:pt>
                <c:pt idx="34">
                  <c:v>2.508</c:v>
                </c:pt>
                <c:pt idx="35">
                  <c:v>2.5099999999999998</c:v>
                </c:pt>
                <c:pt idx="36">
                  <c:v>2.5339999999999998</c:v>
                </c:pt>
                <c:pt idx="37">
                  <c:v>2.54</c:v>
                </c:pt>
                <c:pt idx="38">
                  <c:v>2.548</c:v>
                </c:pt>
                <c:pt idx="39">
                  <c:v>2.5579999999999998</c:v>
                </c:pt>
                <c:pt idx="40">
                  <c:v>2.56</c:v>
                </c:pt>
                <c:pt idx="41">
                  <c:v>2.624000000000001</c:v>
                </c:pt>
                <c:pt idx="42">
                  <c:v>2.6480000000000001</c:v>
                </c:pt>
                <c:pt idx="43">
                  <c:v>2.6659999999999999</c:v>
                </c:pt>
                <c:pt idx="44">
                  <c:v>2.6859999999999999</c:v>
                </c:pt>
                <c:pt idx="45">
                  <c:v>2.6859999999999999</c:v>
                </c:pt>
                <c:pt idx="46">
                  <c:v>2.6859999999999999</c:v>
                </c:pt>
                <c:pt idx="47">
                  <c:v>2.722</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2.6779999999999999</c:v>
                </c:pt>
                <c:pt idx="88">
                  <c:v>2.62</c:v>
                </c:pt>
                <c:pt idx="89">
                  <c:v>2.5779999999999998</c:v>
                </c:pt>
                <c:pt idx="90">
                  <c:v>2.5680000000000001</c:v>
                </c:pt>
                <c:pt idx="91">
                  <c:v>2.5579999999999998</c:v>
                </c:pt>
                <c:pt idx="92">
                  <c:v>2.5499999999999998</c:v>
                </c:pt>
                <c:pt idx="93">
                  <c:v>2.5459999999999998</c:v>
                </c:pt>
                <c:pt idx="94">
                  <c:v>2.528</c:v>
                </c:pt>
                <c:pt idx="95">
                  <c:v>2.52</c:v>
                </c:pt>
                <c:pt idx="96">
                  <c:v>2.5179999999999998</c:v>
                </c:pt>
                <c:pt idx="97">
                  <c:v>2.504</c:v>
                </c:pt>
                <c:pt idx="98">
                  <c:v>2.4780000000000002</c:v>
                </c:pt>
                <c:pt idx="99">
                  <c:v>2.4700000000000002</c:v>
                </c:pt>
                <c:pt idx="100">
                  <c:v>2.468</c:v>
                </c:pt>
                <c:pt idx="101">
                  <c:v>2.4540000000000002</c:v>
                </c:pt>
                <c:pt idx="102">
                  <c:v>2.4279999999999999</c:v>
                </c:pt>
                <c:pt idx="103">
                  <c:v>2.4279999999999999</c:v>
                </c:pt>
                <c:pt idx="104">
                  <c:v>2.4279999999999999</c:v>
                </c:pt>
                <c:pt idx="105">
                  <c:v>2.4279999999999999</c:v>
                </c:pt>
                <c:pt idx="106">
                  <c:v>2.4279999999999999</c:v>
                </c:pt>
                <c:pt idx="107">
                  <c:v>2.4180000000000001</c:v>
                </c:pt>
                <c:pt idx="108">
                  <c:v>2.4060000000000001</c:v>
                </c:pt>
                <c:pt idx="109">
                  <c:v>2.3879999999999999</c:v>
                </c:pt>
                <c:pt idx="110">
                  <c:v>2.38</c:v>
                </c:pt>
                <c:pt idx="111">
                  <c:v>2.38</c:v>
                </c:pt>
                <c:pt idx="112">
                  <c:v>2.38</c:v>
                </c:pt>
                <c:pt idx="113">
                  <c:v>2.3780000000000001</c:v>
                </c:pt>
                <c:pt idx="114">
                  <c:v>2.3679999999999999</c:v>
                </c:pt>
                <c:pt idx="115">
                  <c:v>2.3679999999999999</c:v>
                </c:pt>
                <c:pt idx="116">
                  <c:v>2.3679999999999999</c:v>
                </c:pt>
                <c:pt idx="117">
                  <c:v>2.3679999999999999</c:v>
                </c:pt>
                <c:pt idx="118">
                  <c:v>2.36</c:v>
                </c:pt>
                <c:pt idx="119">
                  <c:v>2.36</c:v>
                </c:pt>
                <c:pt idx="120">
                  <c:v>2.36</c:v>
                </c:pt>
                <c:pt idx="121">
                  <c:v>2.36</c:v>
                </c:pt>
                <c:pt idx="122">
                  <c:v>2.3580000000000001</c:v>
                </c:pt>
                <c:pt idx="123">
                  <c:v>2.3580000000000001</c:v>
                </c:pt>
                <c:pt idx="124">
                  <c:v>2.3580000000000001</c:v>
                </c:pt>
                <c:pt idx="125">
                  <c:v>2.35</c:v>
                </c:pt>
                <c:pt idx="126">
                  <c:v>2.35</c:v>
                </c:pt>
                <c:pt idx="127">
                  <c:v>2.35</c:v>
                </c:pt>
                <c:pt idx="128">
                  <c:v>2.35</c:v>
                </c:pt>
                <c:pt idx="129">
                  <c:v>2.35</c:v>
                </c:pt>
                <c:pt idx="130">
                  <c:v>2.35</c:v>
                </c:pt>
                <c:pt idx="131">
                  <c:v>2.35</c:v>
                </c:pt>
                <c:pt idx="132">
                  <c:v>2.35</c:v>
                </c:pt>
                <c:pt idx="133">
                  <c:v>2.35</c:v>
                </c:pt>
                <c:pt idx="134">
                  <c:v>2.35</c:v>
                </c:pt>
                <c:pt idx="135">
                  <c:v>2.35</c:v>
                </c:pt>
                <c:pt idx="136">
                  <c:v>2.35</c:v>
                </c:pt>
                <c:pt idx="137">
                  <c:v>2.3479999999999999</c:v>
                </c:pt>
                <c:pt idx="138">
                  <c:v>2.34</c:v>
                </c:pt>
                <c:pt idx="139">
                  <c:v>2.34</c:v>
                </c:pt>
                <c:pt idx="140">
                  <c:v>2.34</c:v>
                </c:pt>
                <c:pt idx="141">
                  <c:v>2.3479999999999999</c:v>
                </c:pt>
                <c:pt idx="142">
                  <c:v>2.3479999999999999</c:v>
                </c:pt>
                <c:pt idx="143">
                  <c:v>2.35</c:v>
                </c:pt>
                <c:pt idx="144">
                  <c:v>2.35</c:v>
                </c:pt>
                <c:pt idx="145">
                  <c:v>2.35</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c:v>
                </c:pt>
                <c:pt idx="160">
                  <c:v>2.35</c:v>
                </c:pt>
                <c:pt idx="161">
                  <c:v>2.35</c:v>
                </c:pt>
                <c:pt idx="162">
                  <c:v>2.35</c:v>
                </c:pt>
                <c:pt idx="163">
                  <c:v>2.35</c:v>
                </c:pt>
                <c:pt idx="164">
                  <c:v>2.35</c:v>
                </c:pt>
                <c:pt idx="165">
                  <c:v>2.35</c:v>
                </c:pt>
                <c:pt idx="166">
                  <c:v>2.35</c:v>
                </c:pt>
                <c:pt idx="167">
                  <c:v>2.3479999999999999</c:v>
                </c:pt>
                <c:pt idx="168">
                  <c:v>2.34</c:v>
                </c:pt>
                <c:pt idx="169">
                  <c:v>2.34</c:v>
                </c:pt>
                <c:pt idx="170">
                  <c:v>2.34</c:v>
                </c:pt>
                <c:pt idx="171">
                  <c:v>2.3380000000000001</c:v>
                </c:pt>
                <c:pt idx="172">
                  <c:v>2.33</c:v>
                </c:pt>
                <c:pt idx="173">
                  <c:v>2.33</c:v>
                </c:pt>
                <c:pt idx="174">
                  <c:v>2.33</c:v>
                </c:pt>
                <c:pt idx="175">
                  <c:v>2.33</c:v>
                </c:pt>
                <c:pt idx="176">
                  <c:v>2.3380000000000001</c:v>
                </c:pt>
                <c:pt idx="177">
                  <c:v>2.3380000000000001</c:v>
                </c:pt>
                <c:pt idx="178">
                  <c:v>2.3380000000000001</c:v>
                </c:pt>
                <c:pt idx="179">
                  <c:v>2.3380000000000001</c:v>
                </c:pt>
                <c:pt idx="180">
                  <c:v>2.3380000000000001</c:v>
                </c:pt>
                <c:pt idx="181">
                  <c:v>2.34</c:v>
                </c:pt>
                <c:pt idx="182">
                  <c:v>2.34</c:v>
                </c:pt>
                <c:pt idx="183">
                  <c:v>2.34</c:v>
                </c:pt>
                <c:pt idx="184">
                  <c:v>2.34</c:v>
                </c:pt>
                <c:pt idx="185">
                  <c:v>2.3479999999999999</c:v>
                </c:pt>
                <c:pt idx="186">
                  <c:v>2.35</c:v>
                </c:pt>
                <c:pt idx="187">
                  <c:v>2.35</c:v>
                </c:pt>
                <c:pt idx="188">
                  <c:v>2.35</c:v>
                </c:pt>
                <c:pt idx="189">
                  <c:v>2.3660000000000001</c:v>
                </c:pt>
                <c:pt idx="190">
                  <c:v>2.3780000000000001</c:v>
                </c:pt>
                <c:pt idx="191">
                  <c:v>2.3780000000000001</c:v>
                </c:pt>
                <c:pt idx="192">
                  <c:v>2.3780000000000001</c:v>
                </c:pt>
                <c:pt idx="193">
                  <c:v>2.3780000000000001</c:v>
                </c:pt>
                <c:pt idx="194">
                  <c:v>2.3780000000000001</c:v>
                </c:pt>
                <c:pt idx="195">
                  <c:v>2.3780000000000001</c:v>
                </c:pt>
                <c:pt idx="196">
                  <c:v>2.3660000000000001</c:v>
                </c:pt>
                <c:pt idx="197">
                  <c:v>2.35</c:v>
                </c:pt>
                <c:pt idx="198">
                  <c:v>2.35</c:v>
                </c:pt>
                <c:pt idx="199">
                  <c:v>2.3479999999999999</c:v>
                </c:pt>
                <c:pt idx="200">
                  <c:v>2.3479999999999999</c:v>
                </c:pt>
                <c:pt idx="201">
                  <c:v>2.3479999999999999</c:v>
                </c:pt>
                <c:pt idx="202">
                  <c:v>2.3479999999999999</c:v>
                </c:pt>
                <c:pt idx="203">
                  <c:v>2.34</c:v>
                </c:pt>
                <c:pt idx="204">
                  <c:v>2.34</c:v>
                </c:pt>
                <c:pt idx="205">
                  <c:v>2.34</c:v>
                </c:pt>
                <c:pt idx="206">
                  <c:v>2.34</c:v>
                </c:pt>
                <c:pt idx="207">
                  <c:v>2.34</c:v>
                </c:pt>
                <c:pt idx="208">
                  <c:v>2.34</c:v>
                </c:pt>
                <c:pt idx="209">
                  <c:v>2.3479999999999999</c:v>
                </c:pt>
                <c:pt idx="210">
                  <c:v>2.3660000000000001</c:v>
                </c:pt>
                <c:pt idx="211">
                  <c:v>2.37</c:v>
                </c:pt>
                <c:pt idx="212">
                  <c:v>2.37</c:v>
                </c:pt>
                <c:pt idx="213">
                  <c:v>2.3780000000000001</c:v>
                </c:pt>
                <c:pt idx="214">
                  <c:v>2.38</c:v>
                </c:pt>
                <c:pt idx="215">
                  <c:v>2.3879999999999999</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2.39</c:v>
                </c:pt>
                <c:pt idx="236">
                  <c:v>2.3879999999999999</c:v>
                </c:pt>
                <c:pt idx="237">
                  <c:v>2.38</c:v>
                </c:pt>
                <c:pt idx="238">
                  <c:v>2.38</c:v>
                </c:pt>
                <c:pt idx="239">
                  <c:v>2.3780000000000001</c:v>
                </c:pt>
                <c:pt idx="240">
                  <c:v>2.37</c:v>
                </c:pt>
                <c:pt idx="241">
                  <c:v>2.37</c:v>
                </c:pt>
                <c:pt idx="242">
                  <c:v>2.3679999999999999</c:v>
                </c:pt>
                <c:pt idx="243">
                  <c:v>2.3679999999999999</c:v>
                </c:pt>
                <c:pt idx="244">
                  <c:v>2.3679999999999999</c:v>
                </c:pt>
                <c:pt idx="245">
                  <c:v>2.37</c:v>
                </c:pt>
                <c:pt idx="246">
                  <c:v>2.3679999999999999</c:v>
                </c:pt>
                <c:pt idx="247">
                  <c:v>2.3679999999999999</c:v>
                </c:pt>
                <c:pt idx="248">
                  <c:v>2.3679999999999999</c:v>
                </c:pt>
                <c:pt idx="249">
                  <c:v>2.3679999999999999</c:v>
                </c:pt>
                <c:pt idx="250">
                  <c:v>2.37</c:v>
                </c:pt>
                <c:pt idx="251">
                  <c:v>2.3780000000000001</c:v>
                </c:pt>
                <c:pt idx="252">
                  <c:v>2.38</c:v>
                </c:pt>
                <c:pt idx="253">
                  <c:v>2.38</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0583-4A6C-BC3E-73EE0826FEC5}"/>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_DASH_DATA!$AA$2:$AA$261</c:f>
              <c:numCache>
                <c:formatCode>General</c:formatCode>
                <c:ptCount val="260"/>
                <c:pt idx="0">
                  <c:v>1.6739999999999999</c:v>
                </c:pt>
                <c:pt idx="1">
                  <c:v>1.6919999999999999</c:v>
                </c:pt>
                <c:pt idx="2">
                  <c:v>1.7</c:v>
                </c:pt>
                <c:pt idx="3">
                  <c:v>1.702</c:v>
                </c:pt>
                <c:pt idx="4">
                  <c:v>1.712</c:v>
                </c:pt>
                <c:pt idx="5">
                  <c:v>1.722</c:v>
                </c:pt>
                <c:pt idx="6">
                  <c:v>1.734</c:v>
                </c:pt>
                <c:pt idx="7">
                  <c:v>1.734</c:v>
                </c:pt>
                <c:pt idx="8">
                  <c:v>1.75</c:v>
                </c:pt>
                <c:pt idx="9">
                  <c:v>1.774</c:v>
                </c:pt>
                <c:pt idx="10">
                  <c:v>1.8740000000000001</c:v>
                </c:pt>
                <c:pt idx="11">
                  <c:v>1.9019999999999999</c:v>
                </c:pt>
                <c:pt idx="12">
                  <c:v>1.954</c:v>
                </c:pt>
                <c:pt idx="13">
                  <c:v>1.974</c:v>
                </c:pt>
                <c:pt idx="14">
                  <c:v>2.004</c:v>
                </c:pt>
                <c:pt idx="15">
                  <c:v>2.0659999999999998</c:v>
                </c:pt>
                <c:pt idx="16">
                  <c:v>2.0920000000000001</c:v>
                </c:pt>
                <c:pt idx="17">
                  <c:v>2.1059999999999999</c:v>
                </c:pt>
                <c:pt idx="18">
                  <c:v>2.1320000000000001</c:v>
                </c:pt>
                <c:pt idx="19">
                  <c:v>2.1419999999999999</c:v>
                </c:pt>
                <c:pt idx="20">
                  <c:v>2.1619999999999999</c:v>
                </c:pt>
                <c:pt idx="21">
                  <c:v>2.21</c:v>
                </c:pt>
                <c:pt idx="22">
                  <c:v>2.2120000000000002</c:v>
                </c:pt>
                <c:pt idx="23">
                  <c:v>2.2240000000000002</c:v>
                </c:pt>
                <c:pt idx="24">
                  <c:v>2.2440000000000002</c:v>
                </c:pt>
                <c:pt idx="25">
                  <c:v>2.262</c:v>
                </c:pt>
                <c:pt idx="26">
                  <c:v>2.2719999999999998</c:v>
                </c:pt>
                <c:pt idx="27">
                  <c:v>2.286</c:v>
                </c:pt>
                <c:pt idx="28">
                  <c:v>2.31</c:v>
                </c:pt>
                <c:pt idx="29">
                  <c:v>2.3119999999999998</c:v>
                </c:pt>
                <c:pt idx="30">
                  <c:v>2.3220000000000001</c:v>
                </c:pt>
                <c:pt idx="31">
                  <c:v>2.33</c:v>
                </c:pt>
                <c:pt idx="32">
                  <c:v>2.33</c:v>
                </c:pt>
                <c:pt idx="33">
                  <c:v>2.3319999999999999</c:v>
                </c:pt>
                <c:pt idx="34">
                  <c:v>2.34</c:v>
                </c:pt>
                <c:pt idx="35">
                  <c:v>2.34</c:v>
                </c:pt>
                <c:pt idx="36">
                  <c:v>2.34</c:v>
                </c:pt>
                <c:pt idx="37">
                  <c:v>2.34</c:v>
                </c:pt>
                <c:pt idx="38">
                  <c:v>2.34</c:v>
                </c:pt>
                <c:pt idx="39">
                  <c:v>2.34</c:v>
                </c:pt>
                <c:pt idx="40">
                  <c:v>2.34</c:v>
                </c:pt>
                <c:pt idx="41">
                  <c:v>2.3420000000000001</c:v>
                </c:pt>
                <c:pt idx="42">
                  <c:v>2.3420000000000001</c:v>
                </c:pt>
                <c:pt idx="43">
                  <c:v>2.3420000000000001</c:v>
                </c:pt>
                <c:pt idx="44">
                  <c:v>2.3420000000000001</c:v>
                </c:pt>
                <c:pt idx="45">
                  <c:v>2.3420000000000001</c:v>
                </c:pt>
                <c:pt idx="46">
                  <c:v>2.3420000000000001</c:v>
                </c:pt>
                <c:pt idx="47">
                  <c:v>2.3420000000000001</c:v>
                </c:pt>
                <c:pt idx="48">
                  <c:v>2.3540000000000001</c:v>
                </c:pt>
                <c:pt idx="49">
                  <c:v>2.37</c:v>
                </c:pt>
                <c:pt idx="50">
                  <c:v>2.3719999999999999</c:v>
                </c:pt>
                <c:pt idx="51">
                  <c:v>2.3719999999999999</c:v>
                </c:pt>
                <c:pt idx="52">
                  <c:v>2.3719999999999999</c:v>
                </c:pt>
                <c:pt idx="53">
                  <c:v>2.3719999999999999</c:v>
                </c:pt>
                <c:pt idx="54">
                  <c:v>2.3719999999999999</c:v>
                </c:pt>
                <c:pt idx="55">
                  <c:v>2.3719999999999999</c:v>
                </c:pt>
                <c:pt idx="56">
                  <c:v>2.38</c:v>
                </c:pt>
                <c:pt idx="57">
                  <c:v>2.3820000000000001</c:v>
                </c:pt>
                <c:pt idx="58">
                  <c:v>2.3919999999999999</c:v>
                </c:pt>
                <c:pt idx="59">
                  <c:v>2.4020000000000001</c:v>
                </c:pt>
                <c:pt idx="60">
                  <c:v>2.41</c:v>
                </c:pt>
                <c:pt idx="61">
                  <c:v>2.4119999999999999</c:v>
                </c:pt>
                <c:pt idx="62">
                  <c:v>2.4119999999999999</c:v>
                </c:pt>
                <c:pt idx="63">
                  <c:v>2.4119999999999999</c:v>
                </c:pt>
                <c:pt idx="64">
                  <c:v>2.4119999999999999</c:v>
                </c:pt>
                <c:pt idx="65">
                  <c:v>2.41</c:v>
                </c:pt>
                <c:pt idx="66">
                  <c:v>2.41</c:v>
                </c:pt>
                <c:pt idx="67">
                  <c:v>2.41</c:v>
                </c:pt>
                <c:pt idx="68">
                  <c:v>2.41</c:v>
                </c:pt>
                <c:pt idx="69">
                  <c:v>2.41</c:v>
                </c:pt>
                <c:pt idx="70">
                  <c:v>2.3940000000000001</c:v>
                </c:pt>
                <c:pt idx="71">
                  <c:v>2.3820000000000001</c:v>
                </c:pt>
                <c:pt idx="72">
                  <c:v>2.38</c:v>
                </c:pt>
                <c:pt idx="73">
                  <c:v>2.38</c:v>
                </c:pt>
                <c:pt idx="74">
                  <c:v>2.3719999999999999</c:v>
                </c:pt>
                <c:pt idx="75">
                  <c:v>2.37</c:v>
                </c:pt>
                <c:pt idx="76">
                  <c:v>2.3620000000000001</c:v>
                </c:pt>
                <c:pt idx="77">
                  <c:v>2.3439999999999999</c:v>
                </c:pt>
                <c:pt idx="78">
                  <c:v>2.34</c:v>
                </c:pt>
                <c:pt idx="79">
                  <c:v>2.34</c:v>
                </c:pt>
                <c:pt idx="80">
                  <c:v>2.3239999999999998</c:v>
                </c:pt>
                <c:pt idx="81">
                  <c:v>2.3220000000000001</c:v>
                </c:pt>
                <c:pt idx="82">
                  <c:v>2.3039999999999998</c:v>
                </c:pt>
                <c:pt idx="83">
                  <c:v>2.3039999999999998</c:v>
                </c:pt>
                <c:pt idx="84">
                  <c:v>2.3039999999999998</c:v>
                </c:pt>
                <c:pt idx="85">
                  <c:v>2.3039999999999998</c:v>
                </c:pt>
                <c:pt idx="86">
                  <c:v>2.3039999999999998</c:v>
                </c:pt>
                <c:pt idx="87">
                  <c:v>2.2759999999999998</c:v>
                </c:pt>
                <c:pt idx="88">
                  <c:v>2.262</c:v>
                </c:pt>
                <c:pt idx="89">
                  <c:v>2.2599999999999998</c:v>
                </c:pt>
                <c:pt idx="90">
                  <c:v>2.2599999999999998</c:v>
                </c:pt>
                <c:pt idx="91">
                  <c:v>2.2519999999999998</c:v>
                </c:pt>
                <c:pt idx="92">
                  <c:v>2.2519999999999998</c:v>
                </c:pt>
                <c:pt idx="93">
                  <c:v>2.2519999999999998</c:v>
                </c:pt>
                <c:pt idx="94">
                  <c:v>2.25</c:v>
                </c:pt>
                <c:pt idx="95">
                  <c:v>2.234</c:v>
                </c:pt>
                <c:pt idx="96">
                  <c:v>2.222</c:v>
                </c:pt>
                <c:pt idx="97">
                  <c:v>2.222</c:v>
                </c:pt>
                <c:pt idx="98">
                  <c:v>2.222</c:v>
                </c:pt>
                <c:pt idx="99">
                  <c:v>2.2200000000000002</c:v>
                </c:pt>
                <c:pt idx="100">
                  <c:v>2.2120000000000002</c:v>
                </c:pt>
                <c:pt idx="101">
                  <c:v>2.2120000000000002</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c:v>
                </c:pt>
                <c:pt idx="127">
                  <c:v>2.2120000000000002</c:v>
                </c:pt>
                <c:pt idx="128">
                  <c:v>2.2120000000000002</c:v>
                </c:pt>
                <c:pt idx="129">
                  <c:v>2.21</c:v>
                </c:pt>
                <c:pt idx="130">
                  <c:v>2.2120000000000002</c:v>
                </c:pt>
                <c:pt idx="131">
                  <c:v>2.2200000000000002</c:v>
                </c:pt>
                <c:pt idx="132">
                  <c:v>2.2200000000000002</c:v>
                </c:pt>
                <c:pt idx="133">
                  <c:v>2.2200000000000002</c:v>
                </c:pt>
                <c:pt idx="134">
                  <c:v>2.2120000000000002</c:v>
                </c:pt>
                <c:pt idx="135">
                  <c:v>2.2120000000000002</c:v>
                </c:pt>
                <c:pt idx="136">
                  <c:v>2.2120000000000002</c:v>
                </c:pt>
                <c:pt idx="137">
                  <c:v>2.2120000000000002</c:v>
                </c:pt>
                <c:pt idx="138">
                  <c:v>2.2120000000000002</c:v>
                </c:pt>
                <c:pt idx="139">
                  <c:v>2.2120000000000002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2.2240000000000002</c:v>
                </c:pt>
                <c:pt idx="152">
                  <c:v>2.242</c:v>
                </c:pt>
                <c:pt idx="153">
                  <c:v>2.242</c:v>
                </c:pt>
                <c:pt idx="154">
                  <c:v>2.242</c:v>
                </c:pt>
                <c:pt idx="155">
                  <c:v>2.2519999999999998</c:v>
                </c:pt>
                <c:pt idx="156">
                  <c:v>2.2519999999999998</c:v>
                </c:pt>
                <c:pt idx="157">
                  <c:v>2.2519999999999998</c:v>
                </c:pt>
                <c:pt idx="158">
                  <c:v>2.2519999999999998</c:v>
                </c:pt>
                <c:pt idx="159">
                  <c:v>2.2519999999999998</c:v>
                </c:pt>
                <c:pt idx="160">
                  <c:v>2.242</c:v>
                </c:pt>
                <c:pt idx="161">
                  <c:v>2.2320000000000002</c:v>
                </c:pt>
                <c:pt idx="162">
                  <c:v>2.222</c:v>
                </c:pt>
                <c:pt idx="163">
                  <c:v>2.2200000000000002</c:v>
                </c:pt>
                <c:pt idx="164">
                  <c:v>2.2200000000000002</c:v>
                </c:pt>
                <c:pt idx="165">
                  <c:v>2.2120000000000002</c:v>
                </c:pt>
                <c:pt idx="166">
                  <c:v>2.21</c:v>
                </c:pt>
                <c:pt idx="167">
                  <c:v>2.194</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2.1779999999999999</c:v>
                </c:pt>
                <c:pt idx="181">
                  <c:v>2.2120000000000002</c:v>
                </c:pt>
                <c:pt idx="182">
                  <c:v>2.214</c:v>
                </c:pt>
                <c:pt idx="183">
                  <c:v>2.214</c:v>
                </c:pt>
                <c:pt idx="184">
                  <c:v>2.214</c:v>
                </c:pt>
                <c:pt idx="185">
                  <c:v>2.214</c:v>
                </c:pt>
                <c:pt idx="186">
                  <c:v>2.23</c:v>
                </c:pt>
                <c:pt idx="187">
                  <c:v>2.23</c:v>
                </c:pt>
                <c:pt idx="188">
                  <c:v>2.23</c:v>
                </c:pt>
                <c:pt idx="189">
                  <c:v>2.23</c:v>
                </c:pt>
                <c:pt idx="190">
                  <c:v>2.23</c:v>
                </c:pt>
                <c:pt idx="191">
                  <c:v>2.23</c:v>
                </c:pt>
                <c:pt idx="192">
                  <c:v>2.23</c:v>
                </c:pt>
                <c:pt idx="193">
                  <c:v>2.23</c:v>
                </c:pt>
                <c:pt idx="194">
                  <c:v>2.23</c:v>
                </c:pt>
                <c:pt idx="195">
                  <c:v>2.19</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2.206</c:v>
                </c:pt>
                <c:pt idx="206">
                  <c:v>2.206</c:v>
                </c:pt>
                <c:pt idx="207">
                  <c:v>2.206</c:v>
                </c:pt>
                <c:pt idx="208">
                  <c:v>2.206</c:v>
                </c:pt>
                <c:pt idx="209">
                  <c:v>2.206</c:v>
                </c:pt>
                <c:pt idx="210">
                  <c:v>2.206</c:v>
                </c:pt>
                <c:pt idx="211">
                  <c:v>2.206</c:v>
                </c:pt>
                <c:pt idx="212">
                  <c:v>2.23</c:v>
                </c:pt>
                <c:pt idx="213">
                  <c:v>2.2320000000000002</c:v>
                </c:pt>
                <c:pt idx="214">
                  <c:v>2.2440000000000002</c:v>
                </c:pt>
                <c:pt idx="215">
                  <c:v>2.262</c:v>
                </c:pt>
                <c:pt idx="216">
                  <c:v>2.27</c:v>
                </c:pt>
                <c:pt idx="217">
                  <c:v>2.2719999999999998</c:v>
                </c:pt>
                <c:pt idx="218">
                  <c:v>2.282</c:v>
                </c:pt>
                <c:pt idx="219">
                  <c:v>2.29</c:v>
                </c:pt>
                <c:pt idx="220">
                  <c:v>2.29</c:v>
                </c:pt>
                <c:pt idx="221">
                  <c:v>2.29</c:v>
                </c:pt>
                <c:pt idx="222">
                  <c:v>2.29</c:v>
                </c:pt>
                <c:pt idx="223">
                  <c:v>2.29</c:v>
                </c:pt>
                <c:pt idx="224">
                  <c:v>2.29</c:v>
                </c:pt>
                <c:pt idx="225">
                  <c:v>2.29</c:v>
                </c:pt>
                <c:pt idx="226">
                  <c:v>2.29</c:v>
                </c:pt>
                <c:pt idx="227">
                  <c:v>2.282</c:v>
                </c:pt>
                <c:pt idx="228">
                  <c:v>2.2799999999999998</c:v>
                </c:pt>
                <c:pt idx="229">
                  <c:v>2.2799999999999998</c:v>
                </c:pt>
                <c:pt idx="230">
                  <c:v>2.2799999999999998</c:v>
                </c:pt>
                <c:pt idx="231">
                  <c:v>2.2799999999999998</c:v>
                </c:pt>
                <c:pt idx="232">
                  <c:v>2.2719999999999998</c:v>
                </c:pt>
                <c:pt idx="233">
                  <c:v>2.27</c:v>
                </c:pt>
                <c:pt idx="234">
                  <c:v>2.27</c:v>
                </c:pt>
                <c:pt idx="235">
                  <c:v>2.27</c:v>
                </c:pt>
                <c:pt idx="236">
                  <c:v>2.27</c:v>
                </c:pt>
                <c:pt idx="237">
                  <c:v>2.27</c:v>
                </c:pt>
                <c:pt idx="238">
                  <c:v>2.27</c:v>
                </c:pt>
                <c:pt idx="239">
                  <c:v>2.27</c:v>
                </c:pt>
                <c:pt idx="240">
                  <c:v>2.27</c:v>
                </c:pt>
                <c:pt idx="241">
                  <c:v>2.27</c:v>
                </c:pt>
                <c:pt idx="242">
                  <c:v>2.262</c:v>
                </c:pt>
                <c:pt idx="243">
                  <c:v>2.262</c:v>
                </c:pt>
                <c:pt idx="244">
                  <c:v>2.262</c:v>
                </c:pt>
                <c:pt idx="245">
                  <c:v>2.262</c:v>
                </c:pt>
                <c:pt idx="246">
                  <c:v>2.262</c:v>
                </c:pt>
                <c:pt idx="247">
                  <c:v>2.27</c:v>
                </c:pt>
                <c:pt idx="248">
                  <c:v>2.27</c:v>
                </c:pt>
                <c:pt idx="249">
                  <c:v>2.27</c:v>
                </c:pt>
                <c:pt idx="250">
                  <c:v>2.2719999999999998</c:v>
                </c:pt>
                <c:pt idx="251">
                  <c:v>2.2799999999999998</c:v>
                </c:pt>
                <c:pt idx="252">
                  <c:v>2.2799999999999998</c:v>
                </c:pt>
                <c:pt idx="253">
                  <c:v>2.2799999999999998</c:v>
                </c:pt>
                <c:pt idx="254">
                  <c:v>2.2799999999999998</c:v>
                </c:pt>
                <c:pt idx="255">
                  <c:v>2.2799999999999998</c:v>
                </c:pt>
                <c:pt idx="256">
                  <c:v>2.2799999999999998</c:v>
                </c:pt>
                <c:pt idx="257">
                  <c:v>2.2799999999999998</c:v>
                </c:pt>
                <c:pt idx="258">
                  <c:v>2.2719999999999998</c:v>
                </c:pt>
                <c:pt idx="259">
                  <c:v>2.27</c:v>
                </c:pt>
              </c:numCache>
            </c:numRef>
          </c:val>
          <c:smooth val="0"/>
          <c:extLst>
            <c:ext xmlns:c16="http://schemas.microsoft.com/office/drawing/2014/chart" uri="{C3380CC4-5D6E-409C-BE32-E72D297353CC}">
              <c16:uniqueId val="{00000002-0583-4A6C-BC3E-73EE0826FEC5}"/>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FA1C-4520-85C9-CD8D3F24668E}"/>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FA1C-4520-85C9-CD8D3F24668E}"/>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FA1C-4520-85C9-CD8D3F24668E}"/>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FA1C-4520-85C9-CD8D3F24668E}"/>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5528-4312-944E-C3F599882D7B}"/>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5528-4312-944E-C3F599882D7B}"/>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zoomScale="85" zoomScaleNormal="85" workbookViewId="0">
      <selection activeCell="A11" sqref="A11:H11"/>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2026-06-26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Neutral, Duration Neutral, Cash Overweight, TIPS Neutral</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Neutral</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8"/>
      <c r="C7" s="48"/>
      <c r="D7" s="48"/>
      <c r="E7" s="48"/>
      <c r="F7" s="48"/>
      <c r="G7" s="46"/>
      <c r="I7" s="45" t="s">
        <v>6</v>
      </c>
      <c r="J7" s="46"/>
      <c r="K7" s="35" t="str">
        <f>_DASH_DATA!B13</f>
        <v>Neutral</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Neutral</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2026-06-26,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A7:G7"/>
    <mergeCell ref="I8:J8"/>
    <mergeCell ref="I28:O28"/>
    <mergeCell ref="I6:J6"/>
    <mergeCell ref="A8:G8"/>
    <mergeCell ref="A4:G4"/>
    <mergeCell ref="A62:G62"/>
    <mergeCell ref="A11:H11"/>
    <mergeCell ref="I13:O13"/>
    <mergeCell ref="A28:G28"/>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view="pageLayout" topLeftCell="A40" zoomScaleNormal="100" workbookViewId="0">
      <selection activeCell="G16" sqref="G16:H16"/>
    </sheetView>
  </sheetViews>
  <sheetFormatPr defaultColWidth="8.88671875" defaultRowHeight="14.4" x14ac:dyDescent="0.3"/>
  <cols>
    <col min="2" max="2" width="8.88671875" customWidth="1"/>
    <col min="7" max="7" width="11.6640625" customWidth="1"/>
  </cols>
  <sheetData>
    <row r="1" spans="1:11" ht="21" customHeight="1" x14ac:dyDescent="0.3">
      <c r="A1" s="68" t="str">
        <f>_PDF_DATA!C2</f>
        <v>Macro Regime-to-Portfolio Decision Framework</v>
      </c>
      <c r="B1" s="51"/>
      <c r="C1" s="51"/>
      <c r="D1" s="51"/>
      <c r="E1" s="51"/>
      <c r="F1" s="51"/>
      <c r="G1" s="51"/>
      <c r="H1" s="51"/>
      <c r="I1" s="51"/>
      <c r="J1" s="51"/>
      <c r="K1" s="51"/>
    </row>
    <row r="2" spans="1:11" x14ac:dyDescent="0.3">
      <c r="A2" s="72" t="str">
        <f>IF(_PDF_DATA!C3="","Weekly Research Memo | As of: [As of Date] | Data: FRED | Tool: Python, Excel | Frequency: Weekly",_PDF_DATA!C3)</f>
        <v>Weekly Research Memo | As of: 2026-06-26 | Data: FRED | Tool: Python, Excel | Frequency: Weekly</v>
      </c>
      <c r="B2" s="51"/>
      <c r="C2" s="51"/>
      <c r="D2" s="51"/>
      <c r="E2" s="51"/>
      <c r="F2" s="51"/>
      <c r="G2" s="51"/>
      <c r="H2" s="51"/>
      <c r="I2" s="51"/>
      <c r="J2" s="51"/>
      <c r="K2" s="51"/>
    </row>
    <row r="4" spans="1:11" x14ac:dyDescent="0.3">
      <c r="A4" s="65" t="s">
        <v>1</v>
      </c>
      <c r="B4" s="48"/>
      <c r="C4" s="48"/>
      <c r="D4" s="48"/>
      <c r="E4" s="48"/>
      <c r="F4" s="48"/>
      <c r="G4" s="48"/>
      <c r="H4" s="48"/>
      <c r="I4" s="48"/>
      <c r="J4" s="48"/>
      <c r="K4" s="46"/>
    </row>
    <row r="5" spans="1:11" x14ac:dyDescent="0.3">
      <c r="A5" s="62" t="str">
        <f>IF(_PDF_DATA!R15="","",_PDF_DATA!R15)</f>
        <v>Portfolio</v>
      </c>
      <c r="B5" s="51"/>
      <c r="C5" s="62" t="str">
        <f>IF(_PDF_DATA!S15="","",_PDF_DATA!S15)</f>
        <v>Equity Neutral, Duration Neutral, Cash Overweight, TIPS Neutral; cash remains the primary buffer.</v>
      </c>
      <c r="D5" s="51"/>
      <c r="E5" s="51"/>
      <c r="F5" s="51"/>
      <c r="G5" s="51"/>
      <c r="H5" s="51"/>
      <c r="I5" s="51"/>
      <c r="J5" s="51"/>
      <c r="K5" s="51"/>
    </row>
    <row r="6" spans="1:11" x14ac:dyDescent="0.3">
      <c r="A6" s="62" t="str">
        <f>IF(_PDF_DATA!R16="","",_PDF_DATA!R16)</f>
        <v>Risk Appetite</v>
      </c>
      <c r="B6" s="51"/>
      <c r="C6" s="62" t="str">
        <f>IF(_PDF_DATA!S16="","",_PDF_DATA!S16)</f>
        <v>Neutral — shifted from Risk-On as credit momentum deteriorated.</v>
      </c>
      <c r="D6" s="51"/>
      <c r="E6" s="51"/>
      <c r="F6" s="51"/>
      <c r="G6" s="51"/>
      <c r="H6" s="51"/>
      <c r="I6" s="51"/>
      <c r="J6" s="51"/>
      <c r="K6" s="51"/>
    </row>
    <row r="7" spans="1:11" x14ac:dyDescent="0.3">
      <c r="A7" s="62" t="str">
        <f>IF(_PDF_DATA!R17="","",_PDF_DATA!R17)</f>
        <v>Rates &amp; Inflation</v>
      </c>
      <c r="B7" s="51"/>
      <c r="C7" s="62" t="str">
        <f>IF(_PDF_DATA!S17="","",_PDF_DATA!S17)</f>
        <v>Rate Pressure Only — inflation concern is not elevated.</v>
      </c>
      <c r="D7" s="51"/>
      <c r="E7" s="51"/>
      <c r="F7" s="51"/>
      <c r="G7" s="51"/>
      <c r="H7" s="51"/>
      <c r="I7" s="51"/>
      <c r="J7" s="51"/>
      <c r="K7" s="51"/>
    </row>
    <row r="8" spans="1:11" x14ac:dyDescent="0.3">
      <c r="A8" s="62" t="str">
        <f>IF(_PDF_DATA!R18="","",_PDF_DATA!R18)</f>
        <v>Real Yield</v>
      </c>
      <c r="B8" s="51"/>
      <c r="C8" s="62" t="str">
        <f>IF(_PDF_DATA!S18="","",_PDF_DATA!S18)</f>
        <v>Tightening ON — aggressive equity and duration overweights remain constrained.</v>
      </c>
      <c r="D8" s="51"/>
      <c r="E8" s="51"/>
      <c r="F8" s="51"/>
      <c r="G8" s="51"/>
      <c r="H8" s="51"/>
      <c r="I8" s="51"/>
      <c r="J8" s="51"/>
      <c r="K8" s="51"/>
    </row>
    <row r="9" spans="1:11" x14ac:dyDescent="0.3">
      <c r="A9" s="62" t="str">
        <f>IF(_PDF_DATA!R19="","",_PDF_DATA!R19)</f>
        <v>Data Quality</v>
      </c>
      <c r="B9" s="51"/>
      <c r="C9" s="62" t="str">
        <f>IF(_PDF_DATA!S19="","",_PDF_DATA!S19)</f>
        <v>Pass.</v>
      </c>
      <c r="D9" s="51"/>
      <c r="E9" s="51"/>
      <c r="F9" s="51"/>
      <c r="G9" s="51"/>
      <c r="H9" s="51"/>
      <c r="I9" s="51"/>
      <c r="J9" s="51"/>
      <c r="K9" s="51"/>
    </row>
    <row r="11" spans="1:11" x14ac:dyDescent="0.3">
      <c r="A11" s="65" t="s">
        <v>23</v>
      </c>
      <c r="B11" s="48"/>
      <c r="C11" s="48"/>
      <c r="D11" s="48"/>
      <c r="E11" s="46"/>
      <c r="F11" s="12"/>
      <c r="G11" s="66" t="s">
        <v>2</v>
      </c>
      <c r="H11" s="48"/>
      <c r="I11" s="48"/>
      <c r="J11" s="48"/>
      <c r="K11" s="46"/>
    </row>
    <row r="12" spans="1:11" x14ac:dyDescent="0.3">
      <c r="A12" s="63" t="s">
        <v>24</v>
      </c>
      <c r="B12" s="46"/>
      <c r="C12" s="67" t="str">
        <f>IF(_PDF_DATA!C5="","",_PDF_DATA!C5)</f>
        <v>Neutral</v>
      </c>
      <c r="D12" s="48"/>
      <c r="E12" s="46"/>
      <c r="F12" s="12"/>
      <c r="G12" s="64" t="s">
        <v>25</v>
      </c>
      <c r="H12" s="46"/>
      <c r="I12" s="64" t="s">
        <v>4</v>
      </c>
      <c r="J12" s="48"/>
      <c r="K12" s="46"/>
    </row>
    <row r="13" spans="1:11" x14ac:dyDescent="0.3">
      <c r="A13" s="77" t="s">
        <v>26</v>
      </c>
      <c r="B13" s="46"/>
      <c r="C13" s="69" t="str">
        <f>IF(_PDF_DATA!C6="","",_PDF_DATA!C6&amp;" of 4")</f>
        <v>1 of 4</v>
      </c>
      <c r="D13" s="48"/>
      <c r="E13" s="46"/>
      <c r="F13" s="12"/>
      <c r="G13" s="61" t="str">
        <f>IF(_PDF_DATA!E2="","",_PDF_DATA!E2)</f>
        <v>Equity</v>
      </c>
      <c r="H13" s="46"/>
      <c r="I13" s="61" t="str">
        <f>IF(_PDF_DATA!F2="","",_PDF_DATA!F2)</f>
        <v>Neutral</v>
      </c>
      <c r="J13" s="48"/>
      <c r="K13" s="46"/>
    </row>
    <row r="14" spans="1:11" x14ac:dyDescent="0.3">
      <c r="A14" s="63" t="s">
        <v>27</v>
      </c>
      <c r="B14" s="46"/>
      <c r="C14" s="69" t="str">
        <f>IF(_PDF_DATA!C7="","",_PDF_DATA!C7)</f>
        <v>Deteriorating</v>
      </c>
      <c r="D14" s="48"/>
      <c r="E14" s="46"/>
      <c r="F14" s="12"/>
      <c r="G14" s="61" t="s">
        <v>6</v>
      </c>
      <c r="H14" s="46"/>
      <c r="I14" s="61" t="str">
        <f>IF(_PDF_DATA!F3="","",_PDF_DATA!F3)</f>
        <v>Neutral</v>
      </c>
      <c r="J14" s="48"/>
      <c r="K14" s="46"/>
    </row>
    <row r="15" spans="1:11" x14ac:dyDescent="0.3">
      <c r="A15" s="63" t="s">
        <v>28</v>
      </c>
      <c r="B15" s="46"/>
      <c r="C15" s="69" t="str">
        <f>IF(_PDF_DATA!C16="","",_PDF_DATA!C16)</f>
        <v>Rate Pressure Only</v>
      </c>
      <c r="D15" s="48"/>
      <c r="E15" s="46"/>
      <c r="F15" s="12"/>
      <c r="G15" s="61" t="s">
        <v>7</v>
      </c>
      <c r="H15" s="46"/>
      <c r="I15" s="61" t="str">
        <f>IF(_PDF_DATA!F4="","",_PDF_DATA!F4)</f>
        <v>Overweight</v>
      </c>
      <c r="J15" s="48"/>
      <c r="K15" s="46"/>
    </row>
    <row r="16" spans="1:11" x14ac:dyDescent="0.3">
      <c r="A16" s="63" t="s">
        <v>29</v>
      </c>
      <c r="B16" s="46"/>
      <c r="C16" s="60" t="str">
        <f>IF(_PDF_DATA!C10="","",_PDF_DATA!C10)</f>
        <v>ON</v>
      </c>
      <c r="D16" s="48"/>
      <c r="E16" s="46"/>
      <c r="F16" s="12"/>
      <c r="G16" s="61" t="s">
        <v>8</v>
      </c>
      <c r="H16" s="46"/>
      <c r="I16" s="61" t="str">
        <f>IF(_PDF_DATA!F5="","",_PDF_DATA!F5)</f>
        <v>Neutral</v>
      </c>
      <c r="J16" s="48"/>
      <c r="K16" s="46"/>
    </row>
    <row r="17" spans="1:11" x14ac:dyDescent="0.3">
      <c r="A17" s="63" t="s">
        <v>30</v>
      </c>
      <c r="B17" s="46"/>
      <c r="C17" s="69" t="str">
        <f>IF(_PDF_DATA!C11="","",_PDF_DATA!C11)</f>
        <v>OFF</v>
      </c>
      <c r="D17" s="48"/>
      <c r="E17" s="46"/>
      <c r="F17" s="12"/>
      <c r="G17" s="76" t="str">
        <f>IF(_PDF_DATA!G6="","","Note: "&amp;_PDF_DATA!G6)</f>
        <v>Note: Equity and duration overweights are capped while Real Yield Tightening remains ON.</v>
      </c>
      <c r="H17" s="75"/>
      <c r="I17" s="75"/>
      <c r="J17" s="75"/>
      <c r="K17" s="75"/>
    </row>
    <row r="18" spans="1:11" x14ac:dyDescent="0.3">
      <c r="A18" s="63" t="s">
        <v>31</v>
      </c>
      <c r="B18" s="46"/>
      <c r="C18" s="60" t="str">
        <f>IF(_PDF_DATA!C12="","",_PDF_DATA!C12)</f>
        <v>ON</v>
      </c>
      <c r="D18" s="48"/>
      <c r="E18" s="46"/>
      <c r="F18" s="12"/>
      <c r="G18" s="51"/>
      <c r="H18" s="51"/>
      <c r="I18" s="51"/>
      <c r="J18" s="51"/>
      <c r="K18" s="51"/>
    </row>
    <row r="19" spans="1:11" x14ac:dyDescent="0.3">
      <c r="A19" s="63" t="s">
        <v>32</v>
      </c>
      <c r="B19" s="46"/>
      <c r="C19" s="60" t="str">
        <f>IF(_PDF_DATA!C14="","",_PDF_DATA!C14)</f>
        <v>Pass</v>
      </c>
      <c r="D19" s="48"/>
      <c r="E19" s="46"/>
      <c r="F19" s="12"/>
      <c r="G19" s="78" t="s">
        <v>33</v>
      </c>
      <c r="H19" s="51"/>
      <c r="I19" s="51"/>
      <c r="J19" s="51"/>
      <c r="K19" s="51"/>
    </row>
    <row r="20" spans="1:11" x14ac:dyDescent="0.3">
      <c r="A20" s="74" t="s">
        <v>9</v>
      </c>
      <c r="B20" s="75"/>
      <c r="C20" s="75"/>
      <c r="D20" s="75"/>
      <c r="E20" s="75"/>
      <c r="F20" s="34"/>
      <c r="G20" s="51"/>
      <c r="H20" s="51"/>
      <c r="I20" s="51"/>
      <c r="J20" s="51"/>
      <c r="K20" s="51"/>
    </row>
    <row r="21" spans="1:11" x14ac:dyDescent="0.3">
      <c r="A21" s="71" t="s">
        <v>34</v>
      </c>
      <c r="B21" s="51"/>
      <c r="C21" s="51"/>
      <c r="D21" s="51"/>
      <c r="E21" s="51"/>
      <c r="F21" s="51"/>
      <c r="G21" s="51"/>
      <c r="H21" s="51"/>
      <c r="I21" s="51"/>
      <c r="J21" s="51"/>
      <c r="K21" s="51"/>
    </row>
    <row r="22" spans="1:11" ht="14.4" customHeight="1" x14ac:dyDescent="0.3"/>
    <row r="23" spans="1:11" x14ac:dyDescent="0.3">
      <c r="A23" s="65" t="s">
        <v>35</v>
      </c>
      <c r="B23" s="48"/>
      <c r="C23" s="48"/>
      <c r="D23" s="48"/>
      <c r="E23" s="48"/>
      <c r="F23" s="48"/>
      <c r="G23" s="48"/>
      <c r="H23" s="48"/>
      <c r="I23" s="48"/>
      <c r="J23" s="48"/>
      <c r="K23" s="46"/>
    </row>
    <row r="24" spans="1:11" x14ac:dyDescent="0.3">
      <c r="A24" s="62" t="str">
        <f>IF(_PDF_DATA!R21="","",_PDF_DATA!R21)</f>
        <v>Risk Appetite</v>
      </c>
      <c r="B24" s="51"/>
      <c r="C24" s="62" t="str">
        <f>IF(_PDF_DATA!S21="","",_PDF_DATA!S21)</f>
        <v>Risk appetite deterioration argues against adding aggressive equity risk.</v>
      </c>
      <c r="D24" s="51"/>
      <c r="E24" s="51"/>
      <c r="F24" s="51"/>
      <c r="G24" s="51"/>
      <c r="H24" s="51"/>
      <c r="I24" s="51"/>
      <c r="J24" s="51"/>
      <c r="K24" s="51"/>
    </row>
    <row r="25" spans="1:11" x14ac:dyDescent="0.3">
      <c r="A25" s="62" t="str">
        <f>IF(_PDF_DATA!R22="","",_PDF_DATA!R22)</f>
        <v>Rates &amp; Inflation</v>
      </c>
      <c r="B25" s="51"/>
      <c r="C25" s="62" t="str">
        <f>IF(_PDF_DATA!S22="","",_PDF_DATA!S22)</f>
        <v>Active rate pressure keeps duration neutral; inflation concern is not elevated.</v>
      </c>
      <c r="D25" s="51"/>
      <c r="E25" s="51"/>
      <c r="F25" s="51"/>
      <c r="G25" s="51"/>
      <c r="H25" s="51"/>
      <c r="I25" s="51"/>
      <c r="J25" s="51"/>
      <c r="K25" s="51"/>
    </row>
    <row r="26" spans="1:11" x14ac:dyDescent="0.3">
      <c r="A26" s="62" t="str">
        <f>IF(_PDF_DATA!R23="","",_PDF_DATA!R23)</f>
        <v>Real Yield</v>
      </c>
      <c r="B26" s="51"/>
      <c r="C26" s="62" t="str">
        <f>IF(_PDF_DATA!S23="","",_PDF_DATA!S23)</f>
        <v>Real Yield Tightening caps aggressive equity and duration overweight positions.</v>
      </c>
      <c r="D26" s="51"/>
      <c r="E26" s="51"/>
      <c r="F26" s="51"/>
      <c r="G26" s="51"/>
      <c r="H26" s="51"/>
      <c r="I26" s="51"/>
      <c r="J26" s="51"/>
      <c r="K26" s="51"/>
    </row>
    <row r="27" spans="1:11" x14ac:dyDescent="0.3">
      <c r="A27" s="62" t="str">
        <f>IF(_PDF_DATA!R24="","",_PDF_DATA!R24)</f>
        <v>Cash</v>
      </c>
      <c r="B27" s="51"/>
      <c r="C27" s="62" t="str">
        <f>IF(_PDF_DATA!S24="","",_PDF_DATA!S24)</f>
        <v>Cash remains overweight as a liquidity buffer while rate pressure and real-yield tightening remain active.</v>
      </c>
      <c r="D27" s="51"/>
      <c r="E27" s="51"/>
      <c r="F27" s="51"/>
      <c r="G27" s="51"/>
      <c r="H27" s="51"/>
      <c r="I27" s="51"/>
      <c r="J27" s="51"/>
      <c r="K27" s="51"/>
    </row>
    <row r="29" spans="1:11" x14ac:dyDescent="0.3">
      <c r="A29" s="65" t="s">
        <v>36</v>
      </c>
      <c r="B29" s="48"/>
      <c r="C29" s="48"/>
      <c r="D29" s="48"/>
      <c r="E29" s="48"/>
      <c r="F29" s="48"/>
      <c r="G29" s="48"/>
      <c r="H29" s="48"/>
      <c r="I29" s="48"/>
      <c r="J29" s="48"/>
      <c r="K29" s="46"/>
    </row>
    <row r="30" spans="1:11" x14ac:dyDescent="0.3">
      <c r="A30" s="62" t="str">
        <f>IF(_PDF_DATA!R26="","",_PDF_DATA!R26)</f>
        <v>Risk Appetite</v>
      </c>
      <c r="B30" s="51"/>
      <c r="C30" s="62" t="str">
        <f>IF(_PDF_DATA!S26="","",_PDF_DATA!S26)</f>
        <v>Moved from Risk-On to Neutral as credit momentum deteriorated.</v>
      </c>
      <c r="D30" s="51"/>
      <c r="E30" s="51"/>
      <c r="F30" s="51"/>
      <c r="G30" s="51"/>
      <c r="H30" s="51"/>
      <c r="I30" s="51"/>
      <c r="J30" s="51"/>
      <c r="K30" s="51"/>
    </row>
    <row r="31" spans="1:11" x14ac:dyDescent="0.3">
      <c r="A31" s="62" t="str">
        <f>IF(_PDF_DATA!R27="","",_PDF_DATA!R27)</f>
        <v>Risk Appetite Score</v>
      </c>
      <c r="B31" s="51"/>
      <c r="C31" s="62" t="str">
        <f>IF(_PDF_DATA!S27="","",_PDF_DATA!S27)</f>
        <v>Increased from 0 of 4 to 1 of 4.</v>
      </c>
      <c r="D31" s="51"/>
      <c r="E31" s="51"/>
      <c r="F31" s="51"/>
      <c r="G31" s="51"/>
      <c r="H31" s="51"/>
      <c r="I31" s="51"/>
      <c r="J31" s="51"/>
      <c r="K31" s="51"/>
    </row>
    <row r="32" spans="1:11" x14ac:dyDescent="0.3">
      <c r="A32" s="62" t="str">
        <f>IF(_PDF_DATA!R28="","",_PDF_DATA!R28)</f>
        <v>Rates &amp; Inflation</v>
      </c>
      <c r="B32" s="51"/>
      <c r="C32" s="62" t="str">
        <f>IF(_PDF_DATA!S28="","",_PDF_DATA!S28)</f>
        <v>Remained Rate Pressure Only.</v>
      </c>
      <c r="D32" s="51"/>
      <c r="E32" s="51"/>
      <c r="F32" s="51"/>
      <c r="G32" s="51"/>
      <c r="H32" s="51"/>
      <c r="I32" s="51"/>
      <c r="J32" s="51"/>
      <c r="K32" s="51"/>
    </row>
    <row r="33" spans="1:11" x14ac:dyDescent="0.3">
      <c r="A33" s="62" t="str">
        <f>IF(_PDF_DATA!R29="","",_PDF_DATA!R29)</f>
        <v>Portfolio</v>
      </c>
      <c r="B33" s="51"/>
      <c r="C33" s="62" t="str">
        <f>IF(_PDF_DATA!S29="","",_PDF_DATA!S29)</f>
        <v>Remained unchanged: Equity Neutral, Duration Neutral, Cash Overweight, TIPS Neutral.</v>
      </c>
      <c r="D33" s="51"/>
      <c r="E33" s="51"/>
      <c r="F33" s="51"/>
      <c r="G33" s="51"/>
      <c r="H33" s="51"/>
      <c r="I33" s="51"/>
      <c r="J33" s="51"/>
      <c r="K33" s="51"/>
    </row>
    <row r="35" spans="1:11" x14ac:dyDescent="0.3">
      <c r="A35" s="65" t="s">
        <v>37</v>
      </c>
      <c r="B35" s="48"/>
      <c r="C35" s="48"/>
      <c r="D35" s="48"/>
      <c r="E35" s="48"/>
      <c r="F35" s="48"/>
      <c r="G35" s="48"/>
      <c r="H35" s="48"/>
      <c r="I35" s="48"/>
      <c r="J35" s="48"/>
      <c r="K35" s="46"/>
    </row>
    <row r="36" spans="1:11" x14ac:dyDescent="0.3">
      <c r="A36" s="62" t="str">
        <f>IF(_PDF_DATA!R31="","",_PDF_DATA!R31)</f>
        <v>Risk Appetite</v>
      </c>
      <c r="B36" s="51"/>
      <c r="C36" s="62" t="str">
        <f>IF(_PDF_DATA!S31="","",_PDF_DATA!S31)</f>
        <v>A Risk Appetite Score of 3+ would shift the framework to Risk-Off; a score of 0 would restore Risk-On.</v>
      </c>
      <c r="D36" s="51"/>
      <c r="E36" s="51"/>
      <c r="F36" s="51"/>
      <c r="G36" s="51"/>
      <c r="H36" s="51"/>
      <c r="I36" s="51"/>
      <c r="J36" s="51"/>
      <c r="K36" s="51"/>
    </row>
    <row r="37" spans="1:11" ht="14.4" customHeight="1" x14ac:dyDescent="0.3">
      <c r="A37" s="62" t="str">
        <f>IF(_PDF_DATA!R32="","",_PDF_DATA!R32)</f>
        <v>Rates &amp; Inflation</v>
      </c>
      <c r="B37" s="51"/>
      <c r="C37" s="62" t="str">
        <f>IF(_PDF_DATA!S32="","",_PDF_DATA!S32)</f>
        <v>Inflation concern turning ON would shift the backdrop to Rate + Inflation Pressure.</v>
      </c>
      <c r="D37" s="51"/>
      <c r="E37" s="51"/>
      <c r="F37" s="51"/>
      <c r="G37" s="51"/>
      <c r="H37" s="51"/>
      <c r="I37" s="51"/>
      <c r="J37" s="51"/>
      <c r="K37" s="51"/>
    </row>
    <row r="38" spans="1:11" x14ac:dyDescent="0.3">
      <c r="A38" s="62" t="str">
        <f>IF(_PDF_DATA!R33="","",_PDF_DATA!R33)</f>
        <v>Real Yield</v>
      </c>
      <c r="B38" s="51"/>
      <c r="C38" s="70" t="str">
        <f>IF(_PDF_DATA!S33="","",_PDF_DATA!S33)</f>
        <v>While Real Yield Tightening remains ON, aggressive equity and duration overweights remain constrained.</v>
      </c>
      <c r="D38" s="51"/>
      <c r="E38" s="51"/>
      <c r="F38" s="51"/>
      <c r="G38" s="51"/>
      <c r="H38" s="51"/>
      <c r="I38" s="51"/>
      <c r="J38" s="51"/>
      <c r="K38" s="51"/>
    </row>
    <row r="39" spans="1:11" x14ac:dyDescent="0.3">
      <c r="A39" s="62" t="str">
        <f>IF(_PDF_DATA!R34="","",_PDF_DATA!R34)</f>
        <v>Portfolio</v>
      </c>
      <c r="B39" s="51"/>
      <c r="C39" s="62" t="str">
        <f>IF(_PDF_DATA!S34="","",_PDF_DATA!S34)</f>
        <v>Further risk deterioration would justify a more defensive allocation stance.</v>
      </c>
      <c r="D39" s="51"/>
      <c r="E39" s="51"/>
      <c r="F39" s="51"/>
      <c r="G39" s="51"/>
      <c r="H39" s="51"/>
      <c r="I39" s="51"/>
      <c r="J39" s="51"/>
      <c r="K39" s="51"/>
    </row>
    <row r="41" spans="1:11" x14ac:dyDescent="0.3">
      <c r="A41" s="32" t="s">
        <v>38</v>
      </c>
      <c r="B41" s="14"/>
      <c r="C41" s="14"/>
      <c r="D41" s="14"/>
      <c r="E41" s="14"/>
      <c r="F41" s="14"/>
      <c r="G41" s="14"/>
      <c r="H41" s="14"/>
      <c r="I41" s="14"/>
      <c r="J41" s="14"/>
      <c r="K41" s="14"/>
    </row>
    <row r="42" spans="1:11" x14ac:dyDescent="0.3">
      <c r="A42" s="73" t="s">
        <v>39</v>
      </c>
      <c r="B42" s="51"/>
      <c r="C42" s="51"/>
      <c r="D42" s="51"/>
      <c r="E42" s="51"/>
      <c r="F42" s="51"/>
      <c r="G42" s="51"/>
      <c r="H42" s="51"/>
      <c r="I42" s="51"/>
      <c r="J42" s="51"/>
      <c r="K42" s="51"/>
    </row>
  </sheetData>
  <mergeCells count="73">
    <mergeCell ref="A39:B39"/>
    <mergeCell ref="A13:B13"/>
    <mergeCell ref="C26:K26"/>
    <mergeCell ref="G19:K20"/>
    <mergeCell ref="A9:B9"/>
    <mergeCell ref="A31:B31"/>
    <mergeCell ref="G14:H14"/>
    <mergeCell ref="A42:K42"/>
    <mergeCell ref="A17:B17"/>
    <mergeCell ref="A8:B8"/>
    <mergeCell ref="C15:E15"/>
    <mergeCell ref="A23:K23"/>
    <mergeCell ref="I15:K15"/>
    <mergeCell ref="C24:K24"/>
    <mergeCell ref="C30:K30"/>
    <mergeCell ref="A38:B38"/>
    <mergeCell ref="A35:K35"/>
    <mergeCell ref="C14:E14"/>
    <mergeCell ref="C33:K33"/>
    <mergeCell ref="A20:E20"/>
    <mergeCell ref="G17:K18"/>
    <mergeCell ref="A19:B19"/>
    <mergeCell ref="A37:B37"/>
    <mergeCell ref="C17:E17"/>
    <mergeCell ref="C39:K39"/>
    <mergeCell ref="G13:H13"/>
    <mergeCell ref="C8:K8"/>
    <mergeCell ref="A18:B18"/>
    <mergeCell ref="A27:B27"/>
    <mergeCell ref="A12:B12"/>
    <mergeCell ref="C32:K32"/>
    <mergeCell ref="C38:K38"/>
    <mergeCell ref="A26:B26"/>
    <mergeCell ref="C19:E19"/>
    <mergeCell ref="A21:K21"/>
    <mergeCell ref="C13:E13"/>
    <mergeCell ref="C37:K37"/>
    <mergeCell ref="A33:B33"/>
    <mergeCell ref="C9:K9"/>
    <mergeCell ref="I12:K12"/>
    <mergeCell ref="C12:E12"/>
    <mergeCell ref="A1:K1"/>
    <mergeCell ref="A6:B6"/>
    <mergeCell ref="A7:B7"/>
    <mergeCell ref="C7:K7"/>
    <mergeCell ref="A5:B5"/>
    <mergeCell ref="A2:K2"/>
    <mergeCell ref="C6:K6"/>
    <mergeCell ref="A4:K4"/>
    <mergeCell ref="C5:K5"/>
    <mergeCell ref="A15:B15"/>
    <mergeCell ref="G12:H12"/>
    <mergeCell ref="A11:E11"/>
    <mergeCell ref="G11:K11"/>
    <mergeCell ref="A36:B36"/>
    <mergeCell ref="C31:K31"/>
    <mergeCell ref="A16:B16"/>
    <mergeCell ref="C27:K27"/>
    <mergeCell ref="A25:B25"/>
    <mergeCell ref="I14:K14"/>
    <mergeCell ref="C36:K36"/>
    <mergeCell ref="G15:H15"/>
    <mergeCell ref="I13:K13"/>
    <mergeCell ref="A32:B32"/>
    <mergeCell ref="C18:E18"/>
    <mergeCell ref="A14:B14"/>
    <mergeCell ref="C16:E16"/>
    <mergeCell ref="I16:K16"/>
    <mergeCell ref="A24:B24"/>
    <mergeCell ref="A30:B30"/>
    <mergeCell ref="C25:K25"/>
    <mergeCell ref="A29:K29"/>
    <mergeCell ref="G16:H16"/>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23" zoomScaleNormal="100" workbookViewId="0">
      <selection activeCell="A42" sqref="A42:B42"/>
    </sheetView>
  </sheetViews>
  <sheetFormatPr defaultRowHeight="14.4" x14ac:dyDescent="0.3"/>
  <cols>
    <col min="3" max="3" width="8.88671875" customWidth="1"/>
    <col min="11" max="12" width="8.88671875" customWidth="1"/>
  </cols>
  <sheetData>
    <row r="1" spans="1:11" ht="25.8" customHeight="1" x14ac:dyDescent="0.3">
      <c r="A1" s="68" t="str">
        <f>_PDF_DATA!C2</f>
        <v>Macro Regime-to-Portfolio Decision Framework</v>
      </c>
      <c r="B1" s="51"/>
      <c r="C1" s="51"/>
      <c r="D1" s="51"/>
      <c r="E1" s="51"/>
      <c r="F1" s="51"/>
      <c r="G1" s="51"/>
      <c r="H1" s="51"/>
      <c r="I1" s="51"/>
      <c r="J1" s="51"/>
      <c r="K1" s="51"/>
    </row>
    <row r="2" spans="1:11" x14ac:dyDescent="0.3">
      <c r="A2" s="72" t="s">
        <v>40</v>
      </c>
      <c r="B2" s="51"/>
      <c r="C2" s="51"/>
      <c r="D2" s="51"/>
      <c r="E2" s="51"/>
      <c r="F2" s="51"/>
      <c r="G2" s="51"/>
      <c r="H2" s="51"/>
      <c r="I2" s="51"/>
      <c r="J2" s="51"/>
      <c r="K2" s="51"/>
    </row>
    <row r="4" spans="1:11" x14ac:dyDescent="0.3">
      <c r="A4" s="66" t="s">
        <v>41</v>
      </c>
      <c r="B4" s="48"/>
      <c r="C4" s="48"/>
      <c r="D4" s="48"/>
      <c r="E4" s="48"/>
      <c r="F4" s="48"/>
      <c r="G4" s="48"/>
      <c r="H4" s="48"/>
      <c r="I4" s="48"/>
      <c r="J4" s="48"/>
      <c r="K4" s="46"/>
    </row>
    <row r="5" spans="1:11" x14ac:dyDescent="0.3">
      <c r="A5" s="86" t="str">
        <f>IF(_PDF_DATA!V1="","",_PDF_DATA!V1)</f>
        <v>Channel</v>
      </c>
      <c r="B5" s="46"/>
      <c r="C5" s="86" t="str">
        <f>IF(_PDF_DATA!W1="","",_PDF_DATA!W1)</f>
        <v>Indicator</v>
      </c>
      <c r="D5" s="46"/>
      <c r="E5" s="18" t="str">
        <f>IF(_PDF_DATA!X1="","",_PDF_DATA!X1)</f>
        <v>Previous</v>
      </c>
      <c r="F5" s="18" t="str">
        <f>IF(_PDF_DATA!Y1="","",_PDF_DATA!Y1)</f>
        <v>Current</v>
      </c>
      <c r="G5" s="86"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momentum turned positive; the spread level remains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1"/>
      <c r="C10" s="61" t="str">
        <f>IF(_PDF_DATA!W6="","",_PDF_DATA!W6)</f>
        <v>Rate Pressure</v>
      </c>
      <c r="D10" s="81"/>
      <c r="E10" s="80" t="str">
        <f>IF(_PDF_DATA!X6="","",_PDF_DATA!X6)</f>
        <v>ON (Level)</v>
      </c>
      <c r="F10" s="80" t="str">
        <f>IF(_PDF_DATA!Y6="","",_PDF_DATA!Y6)</f>
        <v>ON (Level)</v>
      </c>
      <c r="G10" s="80" t="str">
        <f>IF(_PDF_DATA!Z6="","",_PDF_DATA!Z6)</f>
        <v>Rate pressure remains active; level confirmed.</v>
      </c>
      <c r="H10" s="75"/>
      <c r="I10" s="75"/>
      <c r="J10" s="75"/>
      <c r="K10" s="81"/>
    </row>
    <row r="11" spans="1:11" x14ac:dyDescent="0.3">
      <c r="A11" s="82"/>
      <c r="B11" s="84"/>
      <c r="C11" s="82"/>
      <c r="D11" s="84"/>
      <c r="E11" s="85"/>
      <c r="F11" s="85"/>
      <c r="G11" s="82"/>
      <c r="H11" s="83"/>
      <c r="I11" s="83"/>
      <c r="J11" s="83"/>
      <c r="K11" s="84"/>
    </row>
    <row r="12" spans="1:11" x14ac:dyDescent="0.3">
      <c r="A12" s="80" t="str">
        <f>IF(_PDF_DATA!V7="","",_PDF_DATA!V7)</f>
        <v>Inflation</v>
      </c>
      <c r="B12" s="81"/>
      <c r="C12" s="80" t="str">
        <f>IF(_PDF_DATA!W7="","",_PDF_DATA!W7)</f>
        <v>Inflation Concern</v>
      </c>
      <c r="D12" s="81"/>
      <c r="E12" s="80" t="str">
        <f>IF(_PDF_DATA!X7="","",_PDF_DATA!X7)</f>
        <v>OFF</v>
      </c>
      <c r="F12" s="80" t="str">
        <f>IF(_PDF_DATA!Y7="","",_PDF_DATA!Y7)</f>
        <v>OFF</v>
      </c>
      <c r="G12" s="80" t="str">
        <f>IF(_PDF_DATA!Z7="","",_PDF_DATA!Z7)</f>
        <v>Inflation concern remains inactive.</v>
      </c>
      <c r="H12" s="75"/>
      <c r="I12" s="75"/>
      <c r="J12" s="75"/>
      <c r="K12" s="81"/>
    </row>
    <row r="13" spans="1:11" x14ac:dyDescent="0.3">
      <c r="A13" s="82"/>
      <c r="B13" s="84"/>
      <c r="C13" s="82"/>
      <c r="D13" s="84"/>
      <c r="E13" s="85"/>
      <c r="F13" s="85"/>
      <c r="G13" s="82"/>
      <c r="H13" s="83"/>
      <c r="I13" s="83"/>
      <c r="J13" s="83"/>
      <c r="K13" s="84"/>
    </row>
    <row r="14" spans="1:11" x14ac:dyDescent="0.3">
      <c r="A14" s="80" t="str">
        <f>IF(_PDF_DATA!V8="","",_PDF_DATA!V8)</f>
        <v>Real Yield</v>
      </c>
      <c r="B14" s="81"/>
      <c r="C14" s="80" t="str">
        <f>IF(_PDF_DATA!W8="","",_PDF_DATA!W8)</f>
        <v>Real Yield Tightening</v>
      </c>
      <c r="D14" s="81"/>
      <c r="E14" s="80" t="str">
        <f>IF(_PDF_DATA!X8="","",_PDF_DATA!X8)</f>
        <v>ON (L+T)</v>
      </c>
      <c r="F14" s="80" t="str">
        <f>IF(_PDF_DATA!Y8="","",_PDF_DATA!Y8)</f>
        <v>ON (L+T)</v>
      </c>
      <c r="G14" s="80" t="str">
        <f>IF(_PDF_DATA!Z8="","",_PDF_DATA!Z8)</f>
        <v>Real-yield tightening remains active; level and trend confirmed.</v>
      </c>
      <c r="H14" s="75"/>
      <c r="I14" s="75"/>
      <c r="J14" s="75"/>
      <c r="K14" s="81"/>
    </row>
    <row r="15" spans="1:11" x14ac:dyDescent="0.3">
      <c r="A15" s="82"/>
      <c r="B15" s="84"/>
      <c r="C15" s="82"/>
      <c r="D15" s="84"/>
      <c r="E15" s="85"/>
      <c r="F15" s="85"/>
      <c r="G15" s="82"/>
      <c r="H15" s="83"/>
      <c r="I15" s="83"/>
      <c r="J15" s="83"/>
      <c r="K15" s="84"/>
    </row>
    <row r="16" spans="1:11" x14ac:dyDescent="0.3">
      <c r="A16" s="28" t="s">
        <v>42</v>
      </c>
      <c r="B16" s="30"/>
      <c r="C16" s="30"/>
      <c r="D16" s="30"/>
      <c r="E16" s="30"/>
      <c r="F16" s="30"/>
      <c r="G16" s="87" t="s">
        <v>43</v>
      </c>
      <c r="H16" s="75"/>
      <c r="I16" s="75"/>
      <c r="J16" s="75"/>
      <c r="K16" s="75"/>
    </row>
    <row r="18" spans="1:11" x14ac:dyDescent="0.3">
      <c r="A18" s="65" t="s">
        <v>44</v>
      </c>
      <c r="B18" s="48"/>
      <c r="C18" s="48"/>
      <c r="D18" s="48"/>
      <c r="E18" s="46"/>
      <c r="F18" s="33"/>
      <c r="G18" s="65" t="s">
        <v>45</v>
      </c>
      <c r="H18" s="48"/>
      <c r="I18" s="48"/>
      <c r="J18" s="48"/>
      <c r="K18" s="46"/>
    </row>
    <row r="30" spans="1:11" x14ac:dyDescent="0.3">
      <c r="A30" s="66" t="s">
        <v>46</v>
      </c>
      <c r="B30" s="48"/>
      <c r="C30" s="48"/>
      <c r="D30" s="48"/>
      <c r="E30" s="46"/>
      <c r="G30" s="66" t="s">
        <v>47</v>
      </c>
      <c r="H30" s="48"/>
      <c r="I30" s="48"/>
      <c r="J30" s="48"/>
      <c r="K30" s="46"/>
    </row>
    <row r="31" spans="1:11" x14ac:dyDescent="0.3">
      <c r="A31" s="18" t="str">
        <f>IF(_PDF_DATA!U12="","",_PDF_DATA!U12)</f>
        <v>Indicator</v>
      </c>
      <c r="B31" s="86" t="str">
        <f>IF(_PDF_DATA!W12="","",_PDF_DATA!W12)</f>
        <v>Trigger Rule</v>
      </c>
      <c r="C31" s="48"/>
      <c r="D31" s="46"/>
      <c r="E31" s="18" t="str">
        <f>"Score"</f>
        <v>Score</v>
      </c>
      <c r="G31" s="18" t="s">
        <v>48</v>
      </c>
      <c r="H31" s="18" t="s">
        <v>49</v>
      </c>
      <c r="I31" s="18" t="s">
        <v>50</v>
      </c>
      <c r="J31" s="86" t="s">
        <v>51</v>
      </c>
      <c r="K31" s="46"/>
    </row>
    <row r="32" spans="1:11" x14ac:dyDescent="0.3">
      <c r="A32" s="16" t="str">
        <f>IF(_PDF_DATA!U13="","",_PDF_DATA!U13)</f>
        <v>HY OAS</v>
      </c>
      <c r="B32" s="88" t="str">
        <f>IF(_PDF_DATA!W13="","",_PDF_DATA!W13)</f>
        <v>Level &gt; rolling P80 OR positive 4W change</v>
      </c>
      <c r="C32" s="48"/>
      <c r="D32" s="46"/>
      <c r="E32" s="16" t="str">
        <f>"+1"</f>
        <v>+1</v>
      </c>
      <c r="G32" s="16" t="str">
        <f>IF(_PDF_DATA!AB16="","",_PDF_DATA!AB16)</f>
        <v>ON</v>
      </c>
      <c r="H32" s="16" t="str">
        <f>IF(_PDF_DATA!AB16="","",_PDF_DATA!AB16)</f>
        <v>ON</v>
      </c>
      <c r="I32" s="16">
        <v>1</v>
      </c>
      <c r="J32" s="79" t="str">
        <f>IF(_PDF_DATA!AE16="","",_PDF_DATA!AE16)</f>
        <v>Rate + Inflation Pressure</v>
      </c>
      <c r="K32" s="46"/>
    </row>
    <row r="33" spans="1:11" x14ac:dyDescent="0.3">
      <c r="A33" s="16" t="str">
        <f>IF(_PDF_DATA!U14="","",_PDF_DATA!U14)</f>
        <v>NFCI</v>
      </c>
      <c r="B33" s="79" t="str">
        <f>IF(_PDF_DATA!W14="","",_PDF_DATA!W14)</f>
        <v>Level &gt; rolling P80</v>
      </c>
      <c r="C33" s="48"/>
      <c r="D33" s="46"/>
      <c r="E33" s="16" t="str">
        <f>"+1"</f>
        <v>+1</v>
      </c>
      <c r="G33" s="16" t="str">
        <f>IF(_PDF_DATA!AB17="","",_PDF_DATA!AB17)</f>
        <v>ON</v>
      </c>
      <c r="H33" s="16" t="str">
        <f>IF(_PDF_DATA!AC17="","",_PDF_DATA!AC17)</f>
        <v>OFF</v>
      </c>
      <c r="I33" s="16">
        <v>2</v>
      </c>
      <c r="J33" s="79" t="str">
        <f>IF(_PDF_DATA!AE17="","",_PDF_DATA!AE17)</f>
        <v>Rate Pressure Only</v>
      </c>
      <c r="K33" s="46"/>
    </row>
    <row r="34" spans="1:11" x14ac:dyDescent="0.3">
      <c r="A34" s="16" t="str">
        <f>IF(_PDF_DATA!U15="","",_PDF_DATA!U15)</f>
        <v>VIX</v>
      </c>
      <c r="B34" s="79" t="str">
        <f>IF(_PDF_DATA!W15="","",_PDF_DATA!W15)</f>
        <v>Level &gt; rolling P80</v>
      </c>
      <c r="C34" s="48"/>
      <c r="D34" s="46"/>
      <c r="E34" s="16" t="str">
        <f>"+1"</f>
        <v>+1</v>
      </c>
      <c r="G34" s="16" t="str">
        <f>IF(_PDF_DATA!AB18="","",_PDF_DATA!AB18)</f>
        <v>OFF</v>
      </c>
      <c r="H34" s="16" t="str">
        <f>IF(_PDF_DATA!AC18="","",_PDF_DATA!AC18)</f>
        <v>ON</v>
      </c>
      <c r="I34" s="16">
        <v>3</v>
      </c>
      <c r="J34" s="79" t="str">
        <f>IF(_PDF_DATA!AE18="","",_PDF_DATA!AE18)</f>
        <v>Inflation Concern Only</v>
      </c>
      <c r="K34" s="46"/>
    </row>
    <row r="35" spans="1:11" x14ac:dyDescent="0.3">
      <c r="A35" s="27" t="str">
        <f>IF(_PDF_DATA!U16="","",_PDF_DATA!U16)</f>
        <v>Initial Claims</v>
      </c>
      <c r="B35" s="79" t="str">
        <f>IF(_PDF_DATA!W16="","",_PDF_DATA!W16)</f>
        <v>Level &gt; rolling P80</v>
      </c>
      <c r="C35" s="48"/>
      <c r="D35" s="46"/>
      <c r="E35" s="16" t="str">
        <f>"+1"</f>
        <v>+1</v>
      </c>
      <c r="G35" s="16" t="str">
        <f>IF(_PDF_DATA!AB19="","",_PDF_DATA!AB19)</f>
        <v>OFF</v>
      </c>
      <c r="H35" s="16" t="str">
        <f>IF(_PDF_DATA!AC19="","",_PDF_DATA!AC19)</f>
        <v>OFF</v>
      </c>
      <c r="I35" s="16">
        <v>4</v>
      </c>
      <c r="J35" s="88" t="str">
        <f>IF(_PDF_DATA!AE19="","",_PDF_DATA!AE19)</f>
        <v>No Rate / Inflation Pressure</v>
      </c>
      <c r="K35" s="46"/>
    </row>
    <row r="36" spans="1:11" x14ac:dyDescent="0.3">
      <c r="A36" s="74" t="s">
        <v>9</v>
      </c>
      <c r="B36" s="75"/>
      <c r="C36" s="75"/>
      <c r="D36" s="75"/>
      <c r="E36" s="75"/>
      <c r="G36" s="15"/>
      <c r="H36" s="15"/>
      <c r="I36" s="15"/>
    </row>
    <row r="38" spans="1:11" x14ac:dyDescent="0.3">
      <c r="A38" s="66" t="s">
        <v>52</v>
      </c>
      <c r="B38" s="48"/>
      <c r="C38" s="48"/>
      <c r="D38" s="48"/>
      <c r="E38" s="48"/>
      <c r="F38" s="48"/>
      <c r="G38" s="46"/>
    </row>
    <row r="39" spans="1:11" ht="14.4" customHeight="1" x14ac:dyDescent="0.3">
      <c r="A39" s="86" t="s">
        <v>53</v>
      </c>
      <c r="B39" s="46"/>
      <c r="C39" s="86" t="s">
        <v>54</v>
      </c>
      <c r="D39" s="48"/>
      <c r="E39" s="46"/>
      <c r="F39" s="86" t="s">
        <v>55</v>
      </c>
      <c r="G39" s="46"/>
    </row>
    <row r="40" spans="1:11" ht="14.4" customHeight="1" x14ac:dyDescent="0.3">
      <c r="A40" s="79" t="str">
        <f>IF(_PDF_DATA!AA13="","",_PDF_DATA!AA13)</f>
        <v>10Y Treasury Yield</v>
      </c>
      <c r="B40" s="46"/>
      <c r="C40" s="79" t="str">
        <f>"P80 level OR positive 4W change"</f>
        <v>P80 level OR positive 4W change</v>
      </c>
      <c r="D40" s="48"/>
      <c r="E40" s="46"/>
      <c r="F40" s="79" t="str">
        <f>"Rate Pressure"</f>
        <v>Rate Pressure</v>
      </c>
      <c r="G40" s="46"/>
      <c r="I40" s="20"/>
    </row>
    <row r="41" spans="1:11" x14ac:dyDescent="0.3">
      <c r="A41" s="79" t="str">
        <f>IF(_PDF_DATA!AA14="","",_PDF_DATA!AA14)</f>
        <v>10Y Breakeven Inflation</v>
      </c>
      <c r="B41" s="46"/>
      <c r="C41" s="79" t="str">
        <f>"P80 level OR positive 4W change"</f>
        <v>P80 level OR positive 4W change</v>
      </c>
      <c r="D41" s="48"/>
      <c r="E41" s="46"/>
      <c r="F41" s="79" t="str">
        <f>"Inflation Concern"</f>
        <v>Inflation Concern</v>
      </c>
      <c r="G41" s="46"/>
    </row>
    <row r="42" spans="1:11" x14ac:dyDescent="0.3">
      <c r="A42" s="79" t="str">
        <f>IF(_PDF_DATA!AA15="","",_PDF_DATA!AA15)</f>
        <v>10Y Real Yield</v>
      </c>
      <c r="B42" s="46"/>
      <c r="C42" s="79" t="str">
        <f>"P80 level OR positive 4W change"</f>
        <v>P80 level OR positive 4W change</v>
      </c>
      <c r="D42" s="48"/>
      <c r="E42" s="46"/>
      <c r="F42" s="79" t="str">
        <f>"Portfolio constraint"</f>
        <v>Portfolio constraint</v>
      </c>
      <c r="G42" s="46"/>
    </row>
    <row r="44" spans="1:11" x14ac:dyDescent="0.3">
      <c r="A44" s="66" t="s">
        <v>56</v>
      </c>
      <c r="B44" s="48"/>
      <c r="C44" s="48"/>
      <c r="D44" s="48"/>
      <c r="E44" s="48"/>
      <c r="F44" s="48"/>
      <c r="G44" s="48"/>
      <c r="H44" s="48"/>
      <c r="I44" s="48"/>
      <c r="J44" s="48"/>
      <c r="K44" s="46"/>
    </row>
    <row r="45" spans="1:11" x14ac:dyDescent="0.3">
      <c r="A45" s="86" t="s">
        <v>57</v>
      </c>
      <c r="B45" s="48"/>
      <c r="C45" s="46"/>
      <c r="D45" s="86" t="s">
        <v>58</v>
      </c>
      <c r="E45" s="46"/>
      <c r="F45" s="86" t="s">
        <v>59</v>
      </c>
      <c r="G45" s="46"/>
      <c r="H45" s="86" t="s">
        <v>60</v>
      </c>
      <c r="I45" s="46"/>
      <c r="J45" s="86" t="s">
        <v>61</v>
      </c>
      <c r="K45" s="46"/>
    </row>
    <row r="46" spans="1:11" x14ac:dyDescent="0.3">
      <c r="A46" s="79" t="str">
        <f>IF(_PDF_DATA!AT2="","",_PDF_DATA!AT2)</f>
        <v>Global Financial Crisis</v>
      </c>
      <c r="B46" s="48"/>
      <c r="C46" s="46"/>
      <c r="D46" s="79" t="str">
        <f>IF(_PDF_DATA!AU2="","",_PDF_DATA!AU2)</f>
        <v>Recognized</v>
      </c>
      <c r="E46" s="46"/>
      <c r="F46" s="79">
        <f>IF(_PDF_DATA!AV2="","",_PDF_DATA!AV2)</f>
        <v>0</v>
      </c>
      <c r="G46" s="46"/>
      <c r="H46" s="79">
        <f>IF(_PDF_DATA!AW2="","",_PDF_DATA!AW2)</f>
        <v>4</v>
      </c>
      <c r="I46" s="46"/>
      <c r="J46" s="79" t="str">
        <f>IF(_PDF_DATA!AX2="","",_PDF_DATA!AX2)</f>
        <v>R4</v>
      </c>
      <c r="K46" s="46"/>
    </row>
    <row r="47" spans="1:11" x14ac:dyDescent="0.3">
      <c r="A47" s="79" t="str">
        <f>IF(_PDF_DATA!AT3="","",_PDF_DATA!AT3)</f>
        <v>COVID Shock</v>
      </c>
      <c r="B47" s="48"/>
      <c r="C47" s="46"/>
      <c r="D47" s="79" t="str">
        <f>IF(_PDF_DATA!AU2="","",_PDF_DATA!AU3)</f>
        <v>Recognized</v>
      </c>
      <c r="E47" s="46"/>
      <c r="F47" s="79">
        <f>IF(_PDF_DATA!AV2="","",_PDF_DATA!AV3)</f>
        <v>0</v>
      </c>
      <c r="G47" s="46"/>
      <c r="H47" s="79">
        <f>IF(_PDF_DATA!AW2="","",_PDF_DATA!AW3)</f>
        <v>4</v>
      </c>
      <c r="I47" s="46"/>
      <c r="J47" s="79" t="str">
        <f>IF(_PDF_DATA!AX2="","",_PDF_DATA!AX3)</f>
        <v>R4</v>
      </c>
      <c r="K47" s="46"/>
    </row>
    <row r="48" spans="1:11" x14ac:dyDescent="0.3">
      <c r="A48" s="79" t="str">
        <f>IF(_PDF_DATA!AT4="","",_PDF_DATA!AT4)</f>
        <v>2022 Inflation / Rates Shock</v>
      </c>
      <c r="B48" s="48"/>
      <c r="C48" s="46"/>
      <c r="D48" s="79" t="str">
        <f>IF(_PDF_DATA!AU2="","",_PDF_DATA!AU4)</f>
        <v>Recognized</v>
      </c>
      <c r="E48" s="46"/>
      <c r="F48" s="79">
        <f>IF(_PDF_DATA!AV2="","",_PDF_DATA!AV4)</f>
        <v>0</v>
      </c>
      <c r="G48" s="46"/>
      <c r="H48" s="79">
        <f>IF(_PDF_DATA!AW2="","",_PDF_DATA!AW4)</f>
        <v>1</v>
      </c>
      <c r="I48" s="46"/>
      <c r="J48" s="79" t="str">
        <f>IF(_PDF_DATA!AX2="","",_PDF_DATA!AX4)</f>
        <v>R1</v>
      </c>
      <c r="K48" s="46"/>
    </row>
    <row r="49" spans="1:11" x14ac:dyDescent="0.3">
      <c r="A49" s="79" t="str">
        <f>IF(_PDF_DATA!AT5="","",_PDF_DATA!AT5)</f>
        <v>2023 Regional Bank Stress</v>
      </c>
      <c r="B49" s="48"/>
      <c r="C49" s="46"/>
      <c r="D49" s="79" t="str">
        <f>IF(_PDF_DATA!AU2="","",_PDF_DATA!AU5)</f>
        <v>Recognized</v>
      </c>
      <c r="E49" s="46"/>
      <c r="F49" s="79">
        <f>IF(_PDF_DATA!AV2="","",_PDF_DATA!AV5)</f>
        <v>0</v>
      </c>
      <c r="G49" s="46"/>
      <c r="H49" s="79">
        <f>IF(_PDF_DATA!AW2="","",_PDF_DATA!AW5)</f>
        <v>3</v>
      </c>
      <c r="I49" s="46"/>
      <c r="J49" s="79" t="str">
        <f>IF(_PDF_DATA!AX2="","",_PDF_DATA!AX5)</f>
        <v>R4</v>
      </c>
      <c r="K49" s="46"/>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G30:K30"/>
    <mergeCell ref="F47:G47"/>
    <mergeCell ref="F46:G46"/>
    <mergeCell ref="F39:G39"/>
    <mergeCell ref="F48:G48"/>
    <mergeCell ref="B31:D31"/>
    <mergeCell ref="J46:K46"/>
    <mergeCell ref="H48:I48"/>
    <mergeCell ref="J48:K48"/>
    <mergeCell ref="A38:G38"/>
    <mergeCell ref="A30:E30"/>
    <mergeCell ref="C41:E41"/>
    <mergeCell ref="D46:E46"/>
    <mergeCell ref="A49:C49"/>
    <mergeCell ref="E12:E13"/>
    <mergeCell ref="G16:K16"/>
    <mergeCell ref="G10:K11"/>
    <mergeCell ref="A9:B9"/>
    <mergeCell ref="A39:B39"/>
    <mergeCell ref="G9:K9"/>
    <mergeCell ref="E14:E15"/>
    <mergeCell ref="A12:B13"/>
    <mergeCell ref="C12:D13"/>
    <mergeCell ref="A36:E36"/>
    <mergeCell ref="A14:B15"/>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6"/>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customWidth="1"/>
    <col min="12" max="12" width="15" customWidth="1"/>
    <col min="13" max="14" width="12" customWidth="1"/>
    <col min="15" max="16" width="60" customWidth="1"/>
  </cols>
  <sheetData>
    <row r="1" spans="1:16" x14ac:dyDescent="0.3">
      <c r="A1" s="38" t="s">
        <v>63</v>
      </c>
      <c r="B1" s="38" t="s">
        <v>64</v>
      </c>
      <c r="C1" s="38" t="s">
        <v>65</v>
      </c>
      <c r="D1" s="38" t="s">
        <v>26</v>
      </c>
      <c r="E1" s="38" t="s">
        <v>66</v>
      </c>
      <c r="F1" s="38" t="s">
        <v>67</v>
      </c>
      <c r="G1" s="38" t="s">
        <v>68</v>
      </c>
      <c r="H1" s="38" t="s">
        <v>69</v>
      </c>
      <c r="I1" s="38" t="s">
        <v>70</v>
      </c>
      <c r="J1" s="38" t="s">
        <v>71</v>
      </c>
      <c r="K1" s="38" t="s">
        <v>72</v>
      </c>
      <c r="L1" s="38" t="s">
        <v>73</v>
      </c>
      <c r="M1" s="38" t="s">
        <v>74</v>
      </c>
      <c r="N1" s="38" t="s">
        <v>75</v>
      </c>
      <c r="O1" s="39" t="s">
        <v>76</v>
      </c>
      <c r="P1" s="39"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28.8" x14ac:dyDescent="0.3">
      <c r="A3258" s="1">
        <v>45443</v>
      </c>
      <c r="B3258" t="b">
        <v>1</v>
      </c>
      <c r="C3258" t="s">
        <v>92</v>
      </c>
      <c r="D3258">
        <v>0</v>
      </c>
      <c r="E3258" t="s">
        <v>84</v>
      </c>
      <c r="F3258" t="b">
        <v>1</v>
      </c>
      <c r="G3258" t="s">
        <v>85</v>
      </c>
      <c r="H3258" t="s">
        <v>85</v>
      </c>
      <c r="I3258" t="s">
        <v>93</v>
      </c>
      <c r="J3258" t="s">
        <v>85</v>
      </c>
      <c r="K3258" t="s">
        <v>86</v>
      </c>
      <c r="L3258" t="s">
        <v>87</v>
      </c>
      <c r="M3258" t="s">
        <v>87</v>
      </c>
      <c r="N3258" t="s">
        <v>89</v>
      </c>
      <c r="O3258" s="2" t="s">
        <v>100</v>
      </c>
      <c r="P3258" s="2" t="s">
        <v>101</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2</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85</v>
      </c>
      <c r="D3273">
        <v>1</v>
      </c>
      <c r="E3273" t="s">
        <v>83</v>
      </c>
      <c r="F3273" t="b">
        <v>0</v>
      </c>
      <c r="G3273" t="s">
        <v>85</v>
      </c>
      <c r="H3273" t="s">
        <v>93</v>
      </c>
      <c r="I3273" t="s">
        <v>85</v>
      </c>
      <c r="J3273" t="s">
        <v>85</v>
      </c>
      <c r="K3273" t="s">
        <v>86</v>
      </c>
      <c r="L3273" t="s">
        <v>104</v>
      </c>
      <c r="M3273" t="s">
        <v>88</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43.2" x14ac:dyDescent="0.3">
      <c r="A3366" s="1">
        <v>46199</v>
      </c>
      <c r="B3366" t="b">
        <v>1</v>
      </c>
      <c r="C3366" t="s">
        <v>85</v>
      </c>
      <c r="D3366">
        <v>1</v>
      </c>
      <c r="E3366" t="s">
        <v>84</v>
      </c>
      <c r="F3366" t="b">
        <v>1</v>
      </c>
      <c r="G3366" t="s">
        <v>85</v>
      </c>
      <c r="H3366" t="s">
        <v>85</v>
      </c>
      <c r="I3366" t="s">
        <v>93</v>
      </c>
      <c r="J3366" t="s">
        <v>85</v>
      </c>
      <c r="K3366" t="s">
        <v>86</v>
      </c>
      <c r="L3366" t="s">
        <v>87</v>
      </c>
      <c r="M3366" t="s">
        <v>87</v>
      </c>
      <c r="N3366" t="s">
        <v>89</v>
      </c>
      <c r="O3366" s="2" t="s">
        <v>96</v>
      </c>
      <c r="P3366" s="2" t="s">
        <v>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6"/>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63</v>
      </c>
      <c r="B1" s="38" t="s">
        <v>108</v>
      </c>
      <c r="C1" s="38" t="s">
        <v>65</v>
      </c>
      <c r="D1" s="38" t="s">
        <v>26</v>
      </c>
      <c r="E1" s="38" t="s">
        <v>109</v>
      </c>
      <c r="F1" s="38" t="s">
        <v>110</v>
      </c>
      <c r="G1" s="38" t="s">
        <v>111</v>
      </c>
      <c r="H1" s="38" t="s">
        <v>112</v>
      </c>
      <c r="I1" s="38" t="s">
        <v>113</v>
      </c>
      <c r="J1" s="38" t="s">
        <v>114</v>
      </c>
      <c r="K1" s="39"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92</v>
      </c>
      <c r="D3258">
        <v>0</v>
      </c>
      <c r="E3258">
        <v>0</v>
      </c>
      <c r="F3258" t="s">
        <v>96</v>
      </c>
      <c r="G3258">
        <v>0</v>
      </c>
      <c r="H3258">
        <v>0</v>
      </c>
      <c r="I3258">
        <v>0</v>
      </c>
      <c r="J3258" t="s">
        <v>124</v>
      </c>
      <c r="K3258" s="2" t="s">
        <v>123</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2</v>
      </c>
      <c r="E3262">
        <v>1</v>
      </c>
      <c r="F3262" t="s">
        <v>119</v>
      </c>
      <c r="G3262">
        <v>0</v>
      </c>
      <c r="H3262">
        <v>0</v>
      </c>
      <c r="I3262">
        <v>1</v>
      </c>
      <c r="J3262" t="s">
        <v>120</v>
      </c>
      <c r="K3262" s="2" t="s">
        <v>121</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85</v>
      </c>
      <c r="D3273">
        <v>1</v>
      </c>
      <c r="E3273">
        <v>1</v>
      </c>
      <c r="F3273" t="s">
        <v>119</v>
      </c>
      <c r="G3273">
        <v>0</v>
      </c>
      <c r="H3273">
        <v>0</v>
      </c>
      <c r="I3273">
        <v>0</v>
      </c>
      <c r="J3273" t="s">
        <v>120</v>
      </c>
      <c r="K3273" s="2" t="s">
        <v>118</v>
      </c>
    </row>
    <row r="3274" spans="1:11" ht="28.8" x14ac:dyDescent="0.3">
      <c r="A3274" s="1">
        <v>45555</v>
      </c>
      <c r="B3274" t="b">
        <v>1</v>
      </c>
      <c r="C3274" t="s">
        <v>92</v>
      </c>
      <c r="D3274">
        <v>0</v>
      </c>
      <c r="E3274">
        <v>0</v>
      </c>
      <c r="F3274" t="s">
        <v>96</v>
      </c>
      <c r="G3274">
        <v>0</v>
      </c>
      <c r="H3274">
        <v>0</v>
      </c>
      <c r="I3274">
        <v>0</v>
      </c>
      <c r="J3274" t="s">
        <v>122</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119</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6"/>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63</v>
      </c>
      <c r="B1" s="38" t="s">
        <v>128</v>
      </c>
      <c r="C1" s="38" t="s">
        <v>66</v>
      </c>
      <c r="D1" s="38" t="s">
        <v>129</v>
      </c>
      <c r="E1" s="38" t="s">
        <v>130</v>
      </c>
      <c r="F1" s="38" t="s">
        <v>131</v>
      </c>
      <c r="G1" s="38" t="s">
        <v>132</v>
      </c>
      <c r="H1" s="38" t="s">
        <v>67</v>
      </c>
      <c r="I1" s="38" t="s">
        <v>133</v>
      </c>
      <c r="J1" s="39" t="s">
        <v>134</v>
      </c>
      <c r="K1" s="38"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84</v>
      </c>
      <c r="D3366" t="b">
        <v>1</v>
      </c>
      <c r="E3366" t="s">
        <v>127</v>
      </c>
      <c r="F3366" t="b">
        <v>0</v>
      </c>
      <c r="G3366" t="s">
        <v>96</v>
      </c>
      <c r="H3366" t="b">
        <v>1</v>
      </c>
      <c r="I3366" t="s">
        <v>126</v>
      </c>
      <c r="J3366" s="2" t="s">
        <v>143</v>
      </c>
      <c r="K3366"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0" t="s">
        <v>166</v>
      </c>
      <c r="Z1" s="48"/>
      <c r="AA1" s="48"/>
      <c r="AB1" s="46"/>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89" t="s">
        <v>176</v>
      </c>
      <c r="Z2" s="48"/>
      <c r="AA2" s="48"/>
      <c r="AB2" s="46"/>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89" t="s">
        <v>182</v>
      </c>
      <c r="Z3" s="48"/>
      <c r="AA3" s="48"/>
      <c r="AB3" s="46"/>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89" t="s">
        <v>187</v>
      </c>
      <c r="Z4" s="48"/>
      <c r="AA4" s="48"/>
      <c r="AB4" s="46"/>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89" t="s">
        <v>191</v>
      </c>
      <c r="Z5" s="48"/>
      <c r="AA5" s="48"/>
      <c r="AB5" s="46"/>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89" t="s">
        <v>187</v>
      </c>
      <c r="Z6" s="48"/>
      <c r="AA6" s="48"/>
      <c r="AB6" s="46"/>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89" t="s">
        <v>200</v>
      </c>
      <c r="Z7" s="48"/>
      <c r="AA7" s="48"/>
      <c r="AB7" s="46"/>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89" t="s">
        <v>205</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7">
        <v>0.21101774042950511</v>
      </c>
      <c r="C2" s="37">
        <v>6.1624649859943981E-2</v>
      </c>
      <c r="D2" s="37">
        <v>7.0028011204481794E-2</v>
      </c>
      <c r="E2" s="37">
        <v>6.535947712418301E-2</v>
      </c>
      <c r="F2" s="37">
        <v>0.40802987861811391</v>
      </c>
    </row>
    <row r="3" spans="1:6" x14ac:dyDescent="0.3">
      <c r="A3" s="13" t="s">
        <v>85</v>
      </c>
      <c r="B3" s="37">
        <v>0.14752567693744159</v>
      </c>
      <c r="C3" s="37">
        <v>6.7226890756302518E-2</v>
      </c>
      <c r="D3" s="37">
        <v>7.0961718020541548E-2</v>
      </c>
      <c r="E3" s="37">
        <v>0.14472455648926241</v>
      </c>
      <c r="F3" s="37">
        <v>0.43043884220354811</v>
      </c>
    </row>
    <row r="4" spans="1:6" x14ac:dyDescent="0.3">
      <c r="A4" s="13" t="s">
        <v>103</v>
      </c>
      <c r="B4" s="37">
        <v>3.1746031746031737E-2</v>
      </c>
      <c r="C4" s="37">
        <v>2.8011204481792722E-2</v>
      </c>
      <c r="D4" s="37">
        <v>2.3342670401493931E-2</v>
      </c>
      <c r="E4" s="37">
        <v>7.8431372549019607E-2</v>
      </c>
      <c r="F4" s="37">
        <v>0.16153127917833801</v>
      </c>
    </row>
    <row r="5" spans="1:6" x14ac:dyDescent="0.3">
      <c r="A5" s="13" t="s">
        <v>207</v>
      </c>
      <c r="B5" s="37">
        <v>0.39028944911297853</v>
      </c>
      <c r="C5" s="37">
        <v>0.15686274509803921</v>
      </c>
      <c r="D5" s="37">
        <v>0.1643323996265173</v>
      </c>
      <c r="E5" s="37">
        <v>0.28851540616246502</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208</v>
      </c>
      <c r="B1" s="38" t="s">
        <v>209</v>
      </c>
      <c r="C1" s="39"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236</v>
      </c>
      <c r="B1" s="39" t="s">
        <v>225</v>
      </c>
      <c r="C1" s="38"/>
      <c r="D1" s="40" t="s">
        <v>237</v>
      </c>
      <c r="E1" s="38" t="s">
        <v>26</v>
      </c>
      <c r="F1" s="38" t="s">
        <v>238</v>
      </c>
      <c r="G1" s="38" t="s">
        <v>239</v>
      </c>
      <c r="H1" s="38" t="s">
        <v>240</v>
      </c>
      <c r="I1" s="38" t="s">
        <v>241</v>
      </c>
      <c r="J1" s="38"/>
      <c r="K1" s="40" t="s">
        <v>237</v>
      </c>
      <c r="L1" s="38" t="s">
        <v>242</v>
      </c>
      <c r="M1" s="38" t="s">
        <v>243</v>
      </c>
      <c r="N1" s="38" t="s">
        <v>244</v>
      </c>
      <c r="O1" s="38" t="s">
        <v>245</v>
      </c>
      <c r="P1" s="38"/>
      <c r="Q1" s="40" t="s">
        <v>237</v>
      </c>
      <c r="R1" s="38" t="s">
        <v>246</v>
      </c>
      <c r="S1" s="38" t="s">
        <v>247</v>
      </c>
      <c r="T1" s="38" t="s">
        <v>248</v>
      </c>
      <c r="U1" s="38" t="s">
        <v>249</v>
      </c>
      <c r="V1" s="38" t="s">
        <v>250</v>
      </c>
      <c r="W1" s="38"/>
      <c r="X1" s="40" t="s">
        <v>237</v>
      </c>
      <c r="Y1" s="38" t="s">
        <v>251</v>
      </c>
      <c r="Z1" s="38" t="s">
        <v>252</v>
      </c>
      <c r="AA1" s="38" t="s">
        <v>253</v>
      </c>
      <c r="AB1" s="38" t="s">
        <v>254</v>
      </c>
      <c r="AC1" s="38" t="s">
        <v>255</v>
      </c>
      <c r="AD1" s="38"/>
      <c r="AE1" s="40" t="s">
        <v>237</v>
      </c>
      <c r="AF1" s="38" t="s">
        <v>256</v>
      </c>
      <c r="AG1" s="38" t="s">
        <v>257</v>
      </c>
      <c r="AH1" s="38" t="s">
        <v>258</v>
      </c>
      <c r="AI1" s="38" t="s">
        <v>259</v>
      </c>
      <c r="AJ1" s="38" t="s">
        <v>260</v>
      </c>
      <c r="AK1" s="38"/>
      <c r="AL1" s="40" t="s">
        <v>237</v>
      </c>
      <c r="AM1" s="38" t="s">
        <v>261</v>
      </c>
      <c r="AN1" s="38" t="s">
        <v>262</v>
      </c>
      <c r="AO1" s="38" t="s">
        <v>263</v>
      </c>
      <c r="AP1" s="38"/>
      <c r="AQ1" s="38" t="s">
        <v>57</v>
      </c>
      <c r="AR1" s="38" t="s">
        <v>165</v>
      </c>
      <c r="AS1" s="38" t="s">
        <v>264</v>
      </c>
      <c r="AT1" s="38" t="s">
        <v>157</v>
      </c>
      <c r="AU1" s="38" t="s">
        <v>159</v>
      </c>
      <c r="AV1" s="38" t="s">
        <v>162</v>
      </c>
      <c r="AW1" s="38" t="s">
        <v>154</v>
      </c>
    </row>
    <row r="2" spans="1:49" x14ac:dyDescent="0.3">
      <c r="A2" t="s">
        <v>226</v>
      </c>
      <c r="B2" s="41">
        <v>46199</v>
      </c>
      <c r="D2" s="4">
        <v>45478</v>
      </c>
      <c r="E2">
        <v>2</v>
      </c>
      <c r="F2">
        <v>0.5</v>
      </c>
      <c r="G2">
        <v>2.5</v>
      </c>
      <c r="I2">
        <v>1</v>
      </c>
      <c r="K2" s="4">
        <v>45478</v>
      </c>
      <c r="L2">
        <v>4</v>
      </c>
      <c r="N2">
        <v>0</v>
      </c>
      <c r="O2">
        <v>0</v>
      </c>
      <c r="Q2" s="4">
        <v>44386</v>
      </c>
      <c r="R2">
        <v>1.37</v>
      </c>
      <c r="S2">
        <v>1.58</v>
      </c>
      <c r="T2">
        <v>0.72399999999999998</v>
      </c>
      <c r="V2">
        <v>-9.9999999999999867E-2</v>
      </c>
      <c r="X2" s="4">
        <v>44386</v>
      </c>
      <c r="Y2">
        <v>2.2799999999999998</v>
      </c>
      <c r="Z2">
        <v>2.3380000000000001</v>
      </c>
      <c r="AA2">
        <v>1.6739999999999999</v>
      </c>
      <c r="AC2">
        <v>-4.0000000000000042E-2</v>
      </c>
      <c r="AE2" s="4">
        <v>44386</v>
      </c>
      <c r="AF2">
        <v>-0.91</v>
      </c>
      <c r="AG2">
        <v>-0.79200000000000004</v>
      </c>
      <c r="AH2">
        <v>-0.99</v>
      </c>
      <c r="AJ2">
        <v>-6.0000000000000053E-2</v>
      </c>
      <c r="AL2" s="4">
        <v>44386</v>
      </c>
      <c r="AM2">
        <v>1.1399999999999999</v>
      </c>
      <c r="AN2">
        <v>0</v>
      </c>
      <c r="AQ2" t="s">
        <v>167</v>
      </c>
      <c r="AR2" t="s">
        <v>175</v>
      </c>
      <c r="AT2" t="s">
        <v>103</v>
      </c>
      <c r="AU2" t="s">
        <v>83</v>
      </c>
      <c r="AV2" t="s">
        <v>173</v>
      </c>
      <c r="AW2" t="s">
        <v>171</v>
      </c>
    </row>
    <row r="3" spans="1:49" x14ac:dyDescent="0.3">
      <c r="A3" t="s">
        <v>65</v>
      </c>
      <c r="B3" s="2" t="s">
        <v>85</v>
      </c>
      <c r="D3" s="4">
        <v>45485</v>
      </c>
      <c r="E3">
        <v>0</v>
      </c>
      <c r="F3">
        <v>0.5</v>
      </c>
      <c r="G3">
        <v>2.5</v>
      </c>
      <c r="I3">
        <v>0</v>
      </c>
      <c r="K3" s="4">
        <v>45485</v>
      </c>
      <c r="L3">
        <v>3</v>
      </c>
      <c r="N3">
        <v>0</v>
      </c>
      <c r="O3">
        <v>1</v>
      </c>
      <c r="Q3" s="4">
        <v>44393</v>
      </c>
      <c r="R3">
        <v>1.31</v>
      </c>
      <c r="S3">
        <v>1.58</v>
      </c>
      <c r="T3">
        <v>0.74399999999999999</v>
      </c>
      <c r="V3">
        <v>-0.1399999999999999</v>
      </c>
      <c r="X3" s="4">
        <v>44393</v>
      </c>
      <c r="Y3">
        <v>2.33</v>
      </c>
      <c r="Z3">
        <v>2.3380000000000001</v>
      </c>
      <c r="AA3">
        <v>1.6919999999999999</v>
      </c>
      <c r="AC3">
        <v>8.9999999999999858E-2</v>
      </c>
      <c r="AE3" s="4">
        <v>44393</v>
      </c>
      <c r="AF3">
        <v>-1.02</v>
      </c>
      <c r="AG3">
        <v>-0.79200000000000004</v>
      </c>
      <c r="AH3">
        <v>-0.998</v>
      </c>
      <c r="AJ3">
        <v>-0.23</v>
      </c>
      <c r="AL3" s="4">
        <v>44393</v>
      </c>
      <c r="AM3">
        <v>1.06</v>
      </c>
      <c r="AN3">
        <v>0</v>
      </c>
      <c r="AQ3" t="s">
        <v>177</v>
      </c>
      <c r="AR3" t="s">
        <v>175</v>
      </c>
      <c r="AT3" t="s">
        <v>103</v>
      </c>
      <c r="AU3" t="s">
        <v>83</v>
      </c>
      <c r="AV3" t="s">
        <v>181</v>
      </c>
      <c r="AW3" t="s">
        <v>180</v>
      </c>
    </row>
    <row r="4" spans="1:49" x14ac:dyDescent="0.3">
      <c r="A4" t="s">
        <v>26</v>
      </c>
      <c r="B4" s="2" t="s">
        <v>227</v>
      </c>
      <c r="D4" s="4">
        <v>45492</v>
      </c>
      <c r="E4">
        <v>2</v>
      </c>
      <c r="F4">
        <v>0.5</v>
      </c>
      <c r="G4">
        <v>2.5</v>
      </c>
      <c r="I4">
        <v>1</v>
      </c>
      <c r="K4" s="4">
        <v>45492</v>
      </c>
      <c r="L4">
        <v>3</v>
      </c>
      <c r="N4">
        <v>0</v>
      </c>
      <c r="O4">
        <v>1</v>
      </c>
      <c r="Q4" s="4">
        <v>44400</v>
      </c>
      <c r="R4">
        <v>1.3</v>
      </c>
      <c r="S4">
        <v>1.58</v>
      </c>
      <c r="T4">
        <v>0.76600000000000001</v>
      </c>
      <c r="V4">
        <v>-0.24</v>
      </c>
      <c r="X4" s="4">
        <v>44400</v>
      </c>
      <c r="Y4">
        <v>2.35</v>
      </c>
      <c r="Z4">
        <v>2.34</v>
      </c>
      <c r="AA4">
        <v>1.7</v>
      </c>
      <c r="AC4">
        <v>1.0000000000000229E-2</v>
      </c>
      <c r="AE4" s="4">
        <v>44400</v>
      </c>
      <c r="AF4">
        <v>-1.05</v>
      </c>
      <c r="AG4">
        <v>-0.79200000000000004</v>
      </c>
      <c r="AH4">
        <v>-1</v>
      </c>
      <c r="AJ4">
        <v>-0.25</v>
      </c>
      <c r="AL4" s="4">
        <v>44400</v>
      </c>
      <c r="AM4">
        <v>1.08</v>
      </c>
      <c r="AN4">
        <v>0</v>
      </c>
      <c r="AQ4" t="s">
        <v>183</v>
      </c>
      <c r="AR4" t="s">
        <v>175</v>
      </c>
      <c r="AT4" t="s">
        <v>103</v>
      </c>
      <c r="AU4" t="s">
        <v>83</v>
      </c>
      <c r="AV4" t="s">
        <v>186</v>
      </c>
      <c r="AW4" t="s">
        <v>180</v>
      </c>
    </row>
    <row r="5" spans="1:49" x14ac:dyDescent="0.3">
      <c r="A5" t="s">
        <v>114</v>
      </c>
      <c r="B5" s="2" t="s">
        <v>120</v>
      </c>
      <c r="D5" s="4">
        <v>45499</v>
      </c>
      <c r="E5">
        <v>1</v>
      </c>
      <c r="F5">
        <v>0.5</v>
      </c>
      <c r="G5">
        <v>2.5</v>
      </c>
      <c r="I5">
        <v>1</v>
      </c>
      <c r="K5" s="4">
        <v>45499</v>
      </c>
      <c r="L5">
        <v>4</v>
      </c>
      <c r="N5">
        <v>0</v>
      </c>
      <c r="O5">
        <v>0</v>
      </c>
      <c r="Q5" s="4">
        <v>44407</v>
      </c>
      <c r="R5">
        <v>1.24</v>
      </c>
      <c r="S5">
        <v>1.58</v>
      </c>
      <c r="T5">
        <v>0.79800000000000004</v>
      </c>
      <c r="V5">
        <v>-0.2</v>
      </c>
      <c r="X5" s="4">
        <v>44407</v>
      </c>
      <c r="Y5">
        <v>2.4</v>
      </c>
      <c r="Z5">
        <v>2.34</v>
      </c>
      <c r="AA5">
        <v>1.702</v>
      </c>
      <c r="AC5">
        <v>6.999999999999984E-2</v>
      </c>
      <c r="AE5" s="4">
        <v>44407</v>
      </c>
      <c r="AF5">
        <v>-1.1599999999999999</v>
      </c>
      <c r="AG5">
        <v>-0.79200000000000004</v>
      </c>
      <c r="AH5">
        <v>-1</v>
      </c>
      <c r="AJ5">
        <v>-0.26999999999999991</v>
      </c>
      <c r="AL5" s="4">
        <v>44407</v>
      </c>
      <c r="AM5">
        <v>1.05</v>
      </c>
      <c r="AN5">
        <v>0</v>
      </c>
      <c r="AQ5" t="s">
        <v>188</v>
      </c>
      <c r="AR5" t="s">
        <v>175</v>
      </c>
      <c r="AT5" t="s">
        <v>103</v>
      </c>
      <c r="AU5" t="s">
        <v>83</v>
      </c>
      <c r="AV5" t="s">
        <v>186</v>
      </c>
      <c r="AW5" t="s">
        <v>174</v>
      </c>
    </row>
    <row r="6" spans="1:49" x14ac:dyDescent="0.3">
      <c r="A6" t="s">
        <v>66</v>
      </c>
      <c r="B6" s="2" t="s">
        <v>84</v>
      </c>
      <c r="D6" s="4">
        <v>45506</v>
      </c>
      <c r="E6">
        <v>3</v>
      </c>
      <c r="F6">
        <v>0.5</v>
      </c>
      <c r="G6">
        <v>2.5</v>
      </c>
      <c r="I6">
        <v>2</v>
      </c>
      <c r="K6" s="4">
        <v>45506</v>
      </c>
      <c r="L6">
        <v>4</v>
      </c>
      <c r="N6">
        <v>0</v>
      </c>
      <c r="O6">
        <v>0</v>
      </c>
      <c r="Q6" s="4">
        <v>44414</v>
      </c>
      <c r="R6">
        <v>1.31</v>
      </c>
      <c r="S6">
        <v>1.58</v>
      </c>
      <c r="T6">
        <v>0.83</v>
      </c>
      <c r="V6">
        <v>-6.0000000000000053E-2</v>
      </c>
      <c r="X6" s="4">
        <v>44414</v>
      </c>
      <c r="Y6">
        <v>2.37</v>
      </c>
      <c r="Z6">
        <v>2.3479999999999999</v>
      </c>
      <c r="AA6">
        <v>1.712</v>
      </c>
      <c r="AC6">
        <v>9.0000000000000302E-2</v>
      </c>
      <c r="AE6" s="4">
        <v>44414</v>
      </c>
      <c r="AF6">
        <v>-1.06</v>
      </c>
      <c r="AG6">
        <v>-0.79200000000000004</v>
      </c>
      <c r="AH6">
        <v>-1</v>
      </c>
      <c r="AJ6">
        <v>-0.15</v>
      </c>
      <c r="AL6" s="4">
        <v>44414</v>
      </c>
      <c r="AM6">
        <v>1.1000000000000001</v>
      </c>
      <c r="AN6">
        <v>0</v>
      </c>
      <c r="AQ6" t="s">
        <v>192</v>
      </c>
      <c r="AR6" t="s">
        <v>175</v>
      </c>
      <c r="AT6" t="s">
        <v>103</v>
      </c>
      <c r="AU6" t="s">
        <v>83</v>
      </c>
      <c r="AV6" t="s">
        <v>186</v>
      </c>
      <c r="AW6" t="s">
        <v>180</v>
      </c>
    </row>
    <row r="7" spans="1:49" x14ac:dyDescent="0.3">
      <c r="A7" t="s">
        <v>29</v>
      </c>
      <c r="B7" s="2" t="b">
        <v>1</v>
      </c>
      <c r="D7" s="4">
        <v>45513</v>
      </c>
      <c r="E7">
        <v>3</v>
      </c>
      <c r="F7">
        <v>0.5</v>
      </c>
      <c r="G7">
        <v>2.5</v>
      </c>
      <c r="I7">
        <v>2</v>
      </c>
      <c r="K7" s="4">
        <v>45513</v>
      </c>
      <c r="L7">
        <v>4</v>
      </c>
      <c r="N7">
        <v>0</v>
      </c>
      <c r="O7">
        <v>0</v>
      </c>
      <c r="Q7" s="4">
        <v>44421</v>
      </c>
      <c r="R7">
        <v>1.29</v>
      </c>
      <c r="S7">
        <v>1.58</v>
      </c>
      <c r="T7">
        <v>0.83199999999999996</v>
      </c>
      <c r="V7">
        <v>-2.0000000000000021E-2</v>
      </c>
      <c r="X7" s="4">
        <v>44421</v>
      </c>
      <c r="Y7">
        <v>2.37</v>
      </c>
      <c r="Z7">
        <v>2.3580000000000001</v>
      </c>
      <c r="AA7">
        <v>1.722</v>
      </c>
      <c r="AC7">
        <v>4.0000000000000042E-2</v>
      </c>
      <c r="AE7" s="4">
        <v>44421</v>
      </c>
      <c r="AF7">
        <v>-1.08</v>
      </c>
      <c r="AG7">
        <v>-0.79200000000000004</v>
      </c>
      <c r="AH7">
        <v>-1.008</v>
      </c>
      <c r="AJ7">
        <v>-6.0000000000000053E-2</v>
      </c>
      <c r="AL7" s="4">
        <v>44421</v>
      </c>
      <c r="AM7">
        <v>1.06</v>
      </c>
      <c r="AN7">
        <v>0</v>
      </c>
      <c r="AQ7" t="s">
        <v>195</v>
      </c>
      <c r="AR7" t="s">
        <v>175</v>
      </c>
      <c r="AT7" t="s">
        <v>85</v>
      </c>
      <c r="AU7" t="s">
        <v>82</v>
      </c>
      <c r="AV7" t="s">
        <v>199</v>
      </c>
      <c r="AW7" t="s">
        <v>171</v>
      </c>
    </row>
    <row r="8" spans="1:49" x14ac:dyDescent="0.3">
      <c r="A8" t="s">
        <v>30</v>
      </c>
      <c r="B8" s="2" t="b">
        <v>0</v>
      </c>
      <c r="D8" s="4">
        <v>45520</v>
      </c>
      <c r="E8">
        <v>1</v>
      </c>
      <c r="F8">
        <v>0.5</v>
      </c>
      <c r="G8">
        <v>2.5</v>
      </c>
      <c r="I8">
        <v>1</v>
      </c>
      <c r="K8" s="4">
        <v>45520</v>
      </c>
      <c r="L8">
        <v>4</v>
      </c>
      <c r="N8">
        <v>0</v>
      </c>
      <c r="O8">
        <v>0</v>
      </c>
      <c r="Q8" s="4">
        <v>44428</v>
      </c>
      <c r="R8">
        <v>1.26</v>
      </c>
      <c r="S8">
        <v>1.58</v>
      </c>
      <c r="T8">
        <v>0.84199999999999997</v>
      </c>
      <c r="V8">
        <v>-4.0000000000000042E-2</v>
      </c>
      <c r="X8" s="4">
        <v>44428</v>
      </c>
      <c r="Y8">
        <v>2.27</v>
      </c>
      <c r="Z8">
        <v>2.3580000000000001</v>
      </c>
      <c r="AA8">
        <v>1.734</v>
      </c>
      <c r="AC8">
        <v>-8.0000000000000071E-2</v>
      </c>
      <c r="AE8" s="4">
        <v>44428</v>
      </c>
      <c r="AF8">
        <v>-1.01</v>
      </c>
      <c r="AG8">
        <v>-0.79200000000000004</v>
      </c>
      <c r="AH8">
        <v>-1.01</v>
      </c>
      <c r="AJ8">
        <v>4.0000000000000042E-2</v>
      </c>
      <c r="AL8" s="4">
        <v>44428</v>
      </c>
      <c r="AM8">
        <v>1.03</v>
      </c>
      <c r="AN8">
        <v>0</v>
      </c>
      <c r="AQ8" t="s">
        <v>201</v>
      </c>
      <c r="AR8" t="s">
        <v>175</v>
      </c>
      <c r="AT8" t="s">
        <v>103</v>
      </c>
      <c r="AU8" t="s">
        <v>83</v>
      </c>
      <c r="AV8" t="s">
        <v>204</v>
      </c>
      <c r="AW8" t="s">
        <v>180</v>
      </c>
    </row>
    <row r="9" spans="1:49" x14ac:dyDescent="0.3">
      <c r="A9" t="s">
        <v>31</v>
      </c>
      <c r="B9" s="2" t="s">
        <v>228</v>
      </c>
      <c r="D9" s="4">
        <v>45527</v>
      </c>
      <c r="E9">
        <v>2</v>
      </c>
      <c r="F9">
        <v>0.5</v>
      </c>
      <c r="G9">
        <v>2.5</v>
      </c>
      <c r="I9">
        <v>1</v>
      </c>
      <c r="K9" s="4">
        <v>45527</v>
      </c>
      <c r="L9">
        <v>4</v>
      </c>
      <c r="N9">
        <v>0</v>
      </c>
      <c r="O9">
        <v>0</v>
      </c>
      <c r="Q9" s="4">
        <v>44435</v>
      </c>
      <c r="R9">
        <v>1.31</v>
      </c>
      <c r="S9">
        <v>1.58</v>
      </c>
      <c r="T9">
        <v>0.85599999999999998</v>
      </c>
      <c r="V9">
        <v>7.0000000000000062E-2</v>
      </c>
      <c r="X9" s="4">
        <v>44435</v>
      </c>
      <c r="Y9">
        <v>2.39</v>
      </c>
      <c r="Z9">
        <v>2.36</v>
      </c>
      <c r="AA9">
        <v>1.734</v>
      </c>
      <c r="AC9">
        <v>-9.9999999999997868E-3</v>
      </c>
      <c r="AE9" s="4">
        <v>44435</v>
      </c>
      <c r="AF9">
        <v>-1.08</v>
      </c>
      <c r="AG9">
        <v>-0.79200000000000004</v>
      </c>
      <c r="AH9">
        <v>-1.01</v>
      </c>
      <c r="AJ9">
        <v>7.9999999999999849E-2</v>
      </c>
      <c r="AL9" s="4">
        <v>44435</v>
      </c>
      <c r="AM9">
        <v>1.0900000000000001</v>
      </c>
      <c r="AN9">
        <v>0</v>
      </c>
    </row>
    <row r="10" spans="1:49" x14ac:dyDescent="0.3">
      <c r="A10" t="s">
        <v>229</v>
      </c>
      <c r="B10" s="2"/>
      <c r="D10" s="4">
        <v>45534</v>
      </c>
      <c r="E10">
        <v>1</v>
      </c>
      <c r="F10">
        <v>0.5</v>
      </c>
      <c r="G10">
        <v>2.5</v>
      </c>
      <c r="I10">
        <v>1</v>
      </c>
      <c r="K10" s="4">
        <v>45534</v>
      </c>
      <c r="L10">
        <v>1</v>
      </c>
      <c r="N10">
        <v>1</v>
      </c>
      <c r="O10">
        <v>1</v>
      </c>
      <c r="Q10" s="4">
        <v>44442</v>
      </c>
      <c r="R10">
        <v>1.33</v>
      </c>
      <c r="S10">
        <v>1.58</v>
      </c>
      <c r="T10">
        <v>0.88200000000000001</v>
      </c>
      <c r="V10">
        <v>2.0000000000000021E-2</v>
      </c>
      <c r="X10" s="4">
        <v>44442</v>
      </c>
      <c r="Y10">
        <v>2.34</v>
      </c>
      <c r="Z10">
        <v>2.36</v>
      </c>
      <c r="AA10">
        <v>1.75</v>
      </c>
      <c r="AC10">
        <v>-3.0000000000000249E-2</v>
      </c>
      <c r="AE10" s="4">
        <v>44442</v>
      </c>
      <c r="AF10">
        <v>-1.01</v>
      </c>
      <c r="AG10">
        <v>-0.79200000000000004</v>
      </c>
      <c r="AH10">
        <v>-1.01</v>
      </c>
      <c r="AJ10">
        <v>5.0000000000000037E-2</v>
      </c>
      <c r="AL10" s="4">
        <v>44442</v>
      </c>
      <c r="AM10">
        <v>1.1200000000000001</v>
      </c>
      <c r="AN10">
        <v>0</v>
      </c>
    </row>
    <row r="11" spans="1:49" x14ac:dyDescent="0.3">
      <c r="A11" t="s">
        <v>231</v>
      </c>
      <c r="B11" s="2" t="s">
        <v>85</v>
      </c>
      <c r="D11" s="4">
        <v>45541</v>
      </c>
      <c r="E11">
        <v>1</v>
      </c>
      <c r="F11">
        <v>0.5</v>
      </c>
      <c r="G11">
        <v>2.5</v>
      </c>
      <c r="I11">
        <v>1</v>
      </c>
      <c r="K11" s="4">
        <v>45541</v>
      </c>
      <c r="L11">
        <v>4</v>
      </c>
      <c r="N11">
        <v>0</v>
      </c>
      <c r="O11">
        <v>0</v>
      </c>
      <c r="Q11" s="4">
        <v>44449</v>
      </c>
      <c r="R11">
        <v>1.35</v>
      </c>
      <c r="S11">
        <v>1.58</v>
      </c>
      <c r="T11">
        <v>0.89200000000000002</v>
      </c>
      <c r="V11">
        <v>6.0000000000000053E-2</v>
      </c>
      <c r="X11" s="4">
        <v>44449</v>
      </c>
      <c r="Y11">
        <v>2.4</v>
      </c>
      <c r="Z11">
        <v>2.3679999999999999</v>
      </c>
      <c r="AA11">
        <v>1.774</v>
      </c>
      <c r="AC11">
        <v>2.9999999999999801E-2</v>
      </c>
      <c r="AE11" s="4">
        <v>44449</v>
      </c>
      <c r="AF11">
        <v>-1.05</v>
      </c>
      <c r="AG11">
        <v>-0.79200000000000004</v>
      </c>
      <c r="AH11">
        <v>-1.018</v>
      </c>
      <c r="AJ11">
        <v>3.000000000000003E-2</v>
      </c>
      <c r="AL11" s="4">
        <v>44449</v>
      </c>
      <c r="AM11">
        <v>1.1200000000000001</v>
      </c>
      <c r="AN11">
        <v>0</v>
      </c>
    </row>
    <row r="12" spans="1:49" x14ac:dyDescent="0.3">
      <c r="B12" s="2"/>
      <c r="D12" s="4">
        <v>45548</v>
      </c>
      <c r="E12">
        <v>1</v>
      </c>
      <c r="F12">
        <v>0.5</v>
      </c>
      <c r="G12">
        <v>2.5</v>
      </c>
      <c r="I12">
        <v>1</v>
      </c>
      <c r="K12" s="4">
        <v>45548</v>
      </c>
      <c r="L12">
        <v>4</v>
      </c>
      <c r="N12">
        <v>0</v>
      </c>
      <c r="O12">
        <v>0</v>
      </c>
      <c r="Q12" s="4">
        <v>44456</v>
      </c>
      <c r="R12">
        <v>1.37</v>
      </c>
      <c r="S12">
        <v>1.58</v>
      </c>
      <c r="T12">
        <v>0.90600000000000003</v>
      </c>
      <c r="V12">
        <v>0.1100000000000001</v>
      </c>
      <c r="X12" s="4">
        <v>44456</v>
      </c>
      <c r="Y12">
        <v>2.33</v>
      </c>
      <c r="Z12">
        <v>2.3679999999999999</v>
      </c>
      <c r="AA12">
        <v>1.8740000000000001</v>
      </c>
      <c r="AC12">
        <v>6.0000000000000053E-2</v>
      </c>
      <c r="AE12" s="4">
        <v>44456</v>
      </c>
      <c r="AF12">
        <v>-0.96</v>
      </c>
      <c r="AG12">
        <v>-0.79200000000000004</v>
      </c>
      <c r="AH12">
        <v>-1.018</v>
      </c>
      <c r="AJ12">
        <v>5.0000000000000037E-2</v>
      </c>
      <c r="AL12" s="4">
        <v>44456</v>
      </c>
      <c r="AM12">
        <v>1.1399999999999999</v>
      </c>
      <c r="AN12">
        <v>0</v>
      </c>
    </row>
    <row r="13" spans="1:49" x14ac:dyDescent="0.3">
      <c r="A13" t="s">
        <v>232</v>
      </c>
      <c r="B13" s="2" t="s">
        <v>85</v>
      </c>
      <c r="D13" s="4">
        <v>45555</v>
      </c>
      <c r="E13">
        <v>0</v>
      </c>
      <c r="F13">
        <v>0.5</v>
      </c>
      <c r="G13">
        <v>2.5</v>
      </c>
      <c r="I13">
        <v>0</v>
      </c>
      <c r="K13" s="4">
        <v>45555</v>
      </c>
      <c r="L13">
        <v>3</v>
      </c>
      <c r="N13">
        <v>0</v>
      </c>
      <c r="O13">
        <v>1</v>
      </c>
      <c r="Q13" s="4">
        <v>44463</v>
      </c>
      <c r="R13">
        <v>1.47</v>
      </c>
      <c r="S13">
        <v>1.58</v>
      </c>
      <c r="T13">
        <v>0.93200000000000005</v>
      </c>
      <c r="V13">
        <v>0.15999999999999989</v>
      </c>
      <c r="X13" s="4">
        <v>44463</v>
      </c>
      <c r="Y13">
        <v>2.34</v>
      </c>
      <c r="Z13">
        <v>2.3679999999999999</v>
      </c>
      <c r="AA13">
        <v>1.9019999999999999</v>
      </c>
      <c r="AC13">
        <v>-5.0000000000000273E-2</v>
      </c>
      <c r="AE13" s="4">
        <v>44463</v>
      </c>
      <c r="AF13">
        <v>-0.87</v>
      </c>
      <c r="AG13">
        <v>-0.79200000000000004</v>
      </c>
      <c r="AH13">
        <v>-1.018</v>
      </c>
      <c r="AJ13">
        <v>0.2100000000000001</v>
      </c>
      <c r="AL13" s="4">
        <v>44463</v>
      </c>
      <c r="AM13">
        <v>1.18</v>
      </c>
      <c r="AN13">
        <v>0</v>
      </c>
    </row>
    <row r="14" spans="1:49" x14ac:dyDescent="0.3">
      <c r="B14" s="2"/>
      <c r="D14" s="4">
        <v>45562</v>
      </c>
      <c r="E14">
        <v>1</v>
      </c>
      <c r="F14">
        <v>0.5</v>
      </c>
      <c r="G14">
        <v>2.5</v>
      </c>
      <c r="I14">
        <v>1</v>
      </c>
      <c r="K14" s="4">
        <v>45562</v>
      </c>
      <c r="L14">
        <v>4</v>
      </c>
      <c r="N14">
        <v>0</v>
      </c>
      <c r="O14">
        <v>0</v>
      </c>
      <c r="Q14" s="4">
        <v>44470</v>
      </c>
      <c r="R14">
        <v>1.48</v>
      </c>
      <c r="S14">
        <v>1.58</v>
      </c>
      <c r="T14">
        <v>0.94199999999999995</v>
      </c>
      <c r="V14">
        <v>0.14999999999999991</v>
      </c>
      <c r="X14" s="4">
        <v>44470</v>
      </c>
      <c r="Y14">
        <v>2.38</v>
      </c>
      <c r="Z14">
        <v>2.37</v>
      </c>
      <c r="AA14">
        <v>1.954</v>
      </c>
      <c r="AC14">
        <v>4.0000000000000042E-2</v>
      </c>
      <c r="AE14" s="4">
        <v>44470</v>
      </c>
      <c r="AF14">
        <v>-0.9</v>
      </c>
      <c r="AG14">
        <v>-0.79200000000000004</v>
      </c>
      <c r="AH14">
        <v>-1.018</v>
      </c>
      <c r="AJ14">
        <v>0.11</v>
      </c>
      <c r="AL14" s="4">
        <v>44470</v>
      </c>
      <c r="AM14">
        <v>1.21</v>
      </c>
      <c r="AN14">
        <v>0</v>
      </c>
    </row>
    <row r="15" spans="1:49" x14ac:dyDescent="0.3">
      <c r="A15" t="s">
        <v>233</v>
      </c>
      <c r="B15" s="2" t="s">
        <v>93</v>
      </c>
      <c r="D15" s="4">
        <v>45569</v>
      </c>
      <c r="E15">
        <v>1</v>
      </c>
      <c r="F15">
        <v>0.5</v>
      </c>
      <c r="G15">
        <v>2.5</v>
      </c>
      <c r="I15">
        <v>1</v>
      </c>
      <c r="K15" s="4">
        <v>45569</v>
      </c>
      <c r="L15">
        <v>1</v>
      </c>
      <c r="N15">
        <v>1</v>
      </c>
      <c r="O15">
        <v>1</v>
      </c>
      <c r="Q15" s="4">
        <v>44477</v>
      </c>
      <c r="R15">
        <v>1.61</v>
      </c>
      <c r="S15">
        <v>1.5880000000000001</v>
      </c>
      <c r="T15">
        <v>0.95399999999999996</v>
      </c>
      <c r="V15">
        <v>0.26</v>
      </c>
      <c r="X15" s="4">
        <v>44477</v>
      </c>
      <c r="Y15">
        <v>2.5</v>
      </c>
      <c r="Z15">
        <v>2.3780000000000001</v>
      </c>
      <c r="AA15">
        <v>1.974</v>
      </c>
      <c r="AC15">
        <v>0.1000000000000001</v>
      </c>
      <c r="AE15" s="4">
        <v>44477</v>
      </c>
      <c r="AF15">
        <v>-0.89</v>
      </c>
      <c r="AG15">
        <v>-0.79200000000000004</v>
      </c>
      <c r="AH15">
        <v>-1.018</v>
      </c>
      <c r="AJ15">
        <v>0.16</v>
      </c>
      <c r="AL15" s="4">
        <v>44477</v>
      </c>
      <c r="AM15">
        <v>1.29</v>
      </c>
      <c r="AN15">
        <v>0</v>
      </c>
    </row>
    <row r="16" spans="1:49" x14ac:dyDescent="0.3">
      <c r="B16" s="2"/>
      <c r="D16" s="4">
        <v>45576</v>
      </c>
      <c r="E16">
        <v>2</v>
      </c>
      <c r="F16">
        <v>0.5</v>
      </c>
      <c r="G16">
        <v>2.5</v>
      </c>
      <c r="I16">
        <v>1</v>
      </c>
      <c r="K16" s="4">
        <v>45576</v>
      </c>
      <c r="L16">
        <v>1</v>
      </c>
      <c r="N16">
        <v>1</v>
      </c>
      <c r="O16">
        <v>1</v>
      </c>
      <c r="Q16" s="4">
        <v>44484</v>
      </c>
      <c r="R16">
        <v>1.59</v>
      </c>
      <c r="S16">
        <v>1.59</v>
      </c>
      <c r="T16">
        <v>0.99600000000000011</v>
      </c>
      <c r="V16">
        <v>0.22</v>
      </c>
      <c r="X16" s="4">
        <v>44484</v>
      </c>
      <c r="Y16">
        <v>2.56</v>
      </c>
      <c r="Z16">
        <v>2.3879999999999999</v>
      </c>
      <c r="AA16">
        <v>2.004</v>
      </c>
      <c r="AC16">
        <v>0.23</v>
      </c>
      <c r="AE16" s="4">
        <v>44484</v>
      </c>
      <c r="AF16">
        <v>-0.97</v>
      </c>
      <c r="AG16">
        <v>-0.79200000000000004</v>
      </c>
      <c r="AH16">
        <v>-1.018</v>
      </c>
      <c r="AJ16">
        <v>-1.0000000000000011E-2</v>
      </c>
      <c r="AL16" s="4">
        <v>44484</v>
      </c>
      <c r="AM16">
        <v>1.18</v>
      </c>
      <c r="AN16">
        <v>0</v>
      </c>
    </row>
    <row r="17" spans="1:40" x14ac:dyDescent="0.3">
      <c r="A17" t="s">
        <v>234</v>
      </c>
      <c r="B17" s="2" t="s">
        <v>85</v>
      </c>
      <c r="D17" s="4">
        <v>45583</v>
      </c>
      <c r="E17">
        <v>2</v>
      </c>
      <c r="F17">
        <v>0.5</v>
      </c>
      <c r="G17">
        <v>2.5</v>
      </c>
      <c r="I17">
        <v>1</v>
      </c>
      <c r="K17" s="4">
        <v>45583</v>
      </c>
      <c r="L17">
        <v>1</v>
      </c>
      <c r="N17">
        <v>1</v>
      </c>
      <c r="O17">
        <v>1</v>
      </c>
      <c r="Q17" s="4">
        <v>44491</v>
      </c>
      <c r="R17">
        <v>1.66</v>
      </c>
      <c r="S17">
        <v>1.5980000000000001</v>
      </c>
      <c r="T17">
        <v>1.1020000000000001</v>
      </c>
      <c r="V17">
        <v>0.18999999999999989</v>
      </c>
      <c r="X17" s="4">
        <v>44491</v>
      </c>
      <c r="Y17">
        <v>2.64</v>
      </c>
      <c r="Z17">
        <v>2.3980000000000001</v>
      </c>
      <c r="AA17">
        <v>2.0659999999999998</v>
      </c>
      <c r="AC17">
        <v>0.30000000000000032</v>
      </c>
      <c r="AE17" s="4">
        <v>44491</v>
      </c>
      <c r="AF17">
        <v>-0.98</v>
      </c>
      <c r="AG17">
        <v>-0.79200000000000004</v>
      </c>
      <c r="AH17">
        <v>-1.018</v>
      </c>
      <c r="AJ17">
        <v>-0.11</v>
      </c>
      <c r="AL17" s="4">
        <v>44491</v>
      </c>
      <c r="AM17">
        <v>1.18</v>
      </c>
      <c r="AN17">
        <v>0</v>
      </c>
    </row>
    <row r="18" spans="1:40" x14ac:dyDescent="0.3">
      <c r="B18" s="2"/>
      <c r="D18" s="4">
        <v>45590</v>
      </c>
      <c r="E18">
        <v>1</v>
      </c>
      <c r="F18">
        <v>0.5</v>
      </c>
      <c r="G18">
        <v>2.5</v>
      </c>
      <c r="I18">
        <v>1</v>
      </c>
      <c r="K18" s="4">
        <v>45590</v>
      </c>
      <c r="L18">
        <v>1</v>
      </c>
      <c r="N18">
        <v>1</v>
      </c>
      <c r="O18">
        <v>1</v>
      </c>
      <c r="Q18" s="4">
        <v>44498</v>
      </c>
      <c r="R18">
        <v>1.55</v>
      </c>
      <c r="S18">
        <v>1.5980000000000001</v>
      </c>
      <c r="T18">
        <v>1.1100000000000001</v>
      </c>
      <c r="V18">
        <v>7.0000000000000062E-2</v>
      </c>
      <c r="X18" s="4">
        <v>44498</v>
      </c>
      <c r="Y18">
        <v>2.5099999999999998</v>
      </c>
      <c r="Z18">
        <v>2.4</v>
      </c>
      <c r="AA18">
        <v>2.0920000000000001</v>
      </c>
      <c r="AC18">
        <v>0.12999999999999989</v>
      </c>
      <c r="AE18" s="4">
        <v>44498</v>
      </c>
      <c r="AF18">
        <v>-0.96</v>
      </c>
      <c r="AG18">
        <v>-0.79200000000000004</v>
      </c>
      <c r="AH18">
        <v>-1.018</v>
      </c>
      <c r="AJ18">
        <v>-5.9999999999999942E-2</v>
      </c>
      <c r="AL18" s="4">
        <v>44498</v>
      </c>
      <c r="AM18">
        <v>1.07</v>
      </c>
      <c r="AN18">
        <v>0</v>
      </c>
    </row>
    <row r="19" spans="1:40" x14ac:dyDescent="0.3">
      <c r="A19" t="s">
        <v>230</v>
      </c>
      <c r="B19" s="2" t="s">
        <v>265</v>
      </c>
      <c r="D19" s="4">
        <v>45597</v>
      </c>
      <c r="E19">
        <v>1</v>
      </c>
      <c r="F19">
        <v>0.5</v>
      </c>
      <c r="G19">
        <v>2.5</v>
      </c>
      <c r="I19">
        <v>1</v>
      </c>
      <c r="K19" s="4">
        <v>45597</v>
      </c>
      <c r="L19">
        <v>1</v>
      </c>
      <c r="N19">
        <v>1</v>
      </c>
      <c r="O19">
        <v>1</v>
      </c>
      <c r="Q19" s="4">
        <v>44505</v>
      </c>
      <c r="R19">
        <v>1.45</v>
      </c>
      <c r="S19">
        <v>1.5980000000000001</v>
      </c>
      <c r="T19">
        <v>1.1140000000000001</v>
      </c>
      <c r="V19">
        <v>-0.16000000000000009</v>
      </c>
      <c r="X19" s="4">
        <v>44505</v>
      </c>
      <c r="Y19">
        <v>2.54</v>
      </c>
      <c r="Z19">
        <v>2.4</v>
      </c>
      <c r="AA19">
        <v>2.1059999999999999</v>
      </c>
      <c r="AC19">
        <v>4.0000000000000042E-2</v>
      </c>
      <c r="AE19" s="4">
        <v>44505</v>
      </c>
      <c r="AF19">
        <v>-1.0900000000000001</v>
      </c>
      <c r="AG19">
        <v>-0.79200000000000004</v>
      </c>
      <c r="AH19">
        <v>-1.02</v>
      </c>
      <c r="AJ19">
        <v>-0.20000000000000009</v>
      </c>
      <c r="AL19" s="4">
        <v>44505</v>
      </c>
      <c r="AM19">
        <v>1.06</v>
      </c>
      <c r="AN19">
        <v>0</v>
      </c>
    </row>
    <row r="20" spans="1:40" x14ac:dyDescent="0.3">
      <c r="D20" s="4">
        <v>45604</v>
      </c>
      <c r="E20">
        <v>0</v>
      </c>
      <c r="F20">
        <v>0.5</v>
      </c>
      <c r="G20">
        <v>2.5</v>
      </c>
      <c r="I20">
        <v>0</v>
      </c>
      <c r="K20" s="4">
        <v>45604</v>
      </c>
      <c r="L20">
        <v>1</v>
      </c>
      <c r="N20">
        <v>1</v>
      </c>
      <c r="O20">
        <v>1</v>
      </c>
      <c r="Q20" s="4">
        <v>44512</v>
      </c>
      <c r="R20">
        <v>1.58</v>
      </c>
      <c r="S20">
        <v>1.5980000000000001</v>
      </c>
      <c r="T20">
        <v>1.1419999999999999</v>
      </c>
      <c r="V20">
        <v>-1.0000000000000011E-2</v>
      </c>
      <c r="X20" s="4">
        <v>44512</v>
      </c>
      <c r="Y20">
        <v>2.73</v>
      </c>
      <c r="Z20">
        <v>2.4079999999999999</v>
      </c>
      <c r="AA20">
        <v>2.1320000000000001</v>
      </c>
      <c r="AC20">
        <v>0.1699999999999999</v>
      </c>
      <c r="AE20" s="4">
        <v>44512</v>
      </c>
      <c r="AF20">
        <v>-1.1499999999999999</v>
      </c>
      <c r="AG20">
        <v>-0.79200000000000004</v>
      </c>
      <c r="AH20">
        <v>-1.02</v>
      </c>
      <c r="AJ20">
        <v>-0.17999999999999991</v>
      </c>
      <c r="AL20" s="4">
        <v>44512</v>
      </c>
      <c r="AM20">
        <v>1.05</v>
      </c>
      <c r="AN20">
        <v>0</v>
      </c>
    </row>
    <row r="21" spans="1:40" x14ac:dyDescent="0.3">
      <c r="D21" s="4">
        <v>45611</v>
      </c>
      <c r="E21">
        <v>0</v>
      </c>
      <c r="F21">
        <v>0.5</v>
      </c>
      <c r="G21">
        <v>2.5</v>
      </c>
      <c r="I21">
        <v>0</v>
      </c>
      <c r="K21" s="4">
        <v>45611</v>
      </c>
      <c r="L21">
        <v>1</v>
      </c>
      <c r="N21">
        <v>1</v>
      </c>
      <c r="O21">
        <v>1</v>
      </c>
      <c r="Q21" s="4">
        <v>44519</v>
      </c>
      <c r="R21">
        <v>1.54</v>
      </c>
      <c r="S21">
        <v>1.5980000000000001</v>
      </c>
      <c r="T21">
        <v>1.1919999999999999</v>
      </c>
      <c r="V21">
        <v>-0.1199999999999999</v>
      </c>
      <c r="X21" s="4">
        <v>44519</v>
      </c>
      <c r="Y21">
        <v>2.65</v>
      </c>
      <c r="Z21">
        <v>2.4180000000000001</v>
      </c>
      <c r="AA21">
        <v>2.1419999999999999</v>
      </c>
      <c r="AC21">
        <v>9.9999999999997868E-3</v>
      </c>
      <c r="AE21" s="4">
        <v>44519</v>
      </c>
      <c r="AF21">
        <v>-1.1100000000000001</v>
      </c>
      <c r="AG21">
        <v>-0.79200000000000004</v>
      </c>
      <c r="AH21">
        <v>-1.028</v>
      </c>
      <c r="AJ21">
        <v>-0.13000000000000009</v>
      </c>
      <c r="AL21" s="4">
        <v>44519</v>
      </c>
      <c r="AM21">
        <v>1.02</v>
      </c>
      <c r="AN21">
        <v>0</v>
      </c>
    </row>
    <row r="22" spans="1:40" x14ac:dyDescent="0.3">
      <c r="D22" s="4">
        <v>45618</v>
      </c>
      <c r="E22">
        <v>0</v>
      </c>
      <c r="F22">
        <v>0.5</v>
      </c>
      <c r="G22">
        <v>2.5</v>
      </c>
      <c r="I22">
        <v>0</v>
      </c>
      <c r="K22" s="4">
        <v>45618</v>
      </c>
      <c r="L22">
        <v>1</v>
      </c>
      <c r="N22">
        <v>1</v>
      </c>
      <c r="O22">
        <v>1</v>
      </c>
      <c r="Q22" s="4">
        <v>44526</v>
      </c>
      <c r="R22">
        <v>1.48</v>
      </c>
      <c r="S22">
        <v>1.5980000000000001</v>
      </c>
      <c r="T22">
        <v>1.208</v>
      </c>
      <c r="V22">
        <v>-7.0000000000000062E-2</v>
      </c>
      <c r="X22" s="4">
        <v>44526</v>
      </c>
      <c r="Y22">
        <v>2.5499999999999998</v>
      </c>
      <c r="Z22">
        <v>2.4279999999999999</v>
      </c>
      <c r="AA22">
        <v>2.1619999999999999</v>
      </c>
      <c r="AC22">
        <v>4.0000000000000042E-2</v>
      </c>
      <c r="AE22" s="4">
        <v>44526</v>
      </c>
      <c r="AF22">
        <v>-1.07</v>
      </c>
      <c r="AG22">
        <v>-0.79200000000000004</v>
      </c>
      <c r="AH22">
        <v>-1.046</v>
      </c>
      <c r="AJ22">
        <v>-0.1100000000000001</v>
      </c>
      <c r="AL22" s="4">
        <v>44526</v>
      </c>
      <c r="AM22">
        <v>0.98</v>
      </c>
      <c r="AN22">
        <v>0</v>
      </c>
    </row>
    <row r="23" spans="1:40" x14ac:dyDescent="0.3">
      <c r="D23" s="4">
        <v>45625</v>
      </c>
      <c r="E23">
        <v>0</v>
      </c>
      <c r="F23">
        <v>0.5</v>
      </c>
      <c r="G23">
        <v>2.5</v>
      </c>
      <c r="I23">
        <v>0</v>
      </c>
      <c r="K23" s="4">
        <v>45625</v>
      </c>
      <c r="L23">
        <v>4</v>
      </c>
      <c r="N23">
        <v>0</v>
      </c>
      <c r="O23">
        <v>0</v>
      </c>
      <c r="Q23" s="4">
        <v>44533</v>
      </c>
      <c r="R23">
        <v>1.35</v>
      </c>
      <c r="S23">
        <v>1.5980000000000001</v>
      </c>
      <c r="T23">
        <v>1.244</v>
      </c>
      <c r="V23">
        <v>-9.9999999999999867E-2</v>
      </c>
      <c r="X23" s="4">
        <v>44533</v>
      </c>
      <c r="Y23">
        <v>2.4300000000000002</v>
      </c>
      <c r="Z23">
        <v>2.4300000000000002</v>
      </c>
      <c r="AA23">
        <v>2.21</v>
      </c>
      <c r="AC23">
        <v>-0.1099999999999999</v>
      </c>
      <c r="AE23" s="4">
        <v>44533</v>
      </c>
      <c r="AF23">
        <v>-1.08</v>
      </c>
      <c r="AG23">
        <v>-0.79200000000000004</v>
      </c>
      <c r="AH23">
        <v>-1.05</v>
      </c>
      <c r="AJ23">
        <v>1.0000000000000011E-2</v>
      </c>
      <c r="AL23" s="4">
        <v>44533</v>
      </c>
      <c r="AM23">
        <v>0.75000000000000011</v>
      </c>
      <c r="AN23">
        <v>0</v>
      </c>
    </row>
    <row r="24" spans="1:40" x14ac:dyDescent="0.3">
      <c r="D24" s="4">
        <v>45632</v>
      </c>
      <c r="E24">
        <v>0</v>
      </c>
      <c r="F24">
        <v>0.5</v>
      </c>
      <c r="G24">
        <v>2.5</v>
      </c>
      <c r="I24">
        <v>0</v>
      </c>
      <c r="K24" s="4">
        <v>45632</v>
      </c>
      <c r="L24">
        <v>4</v>
      </c>
      <c r="N24">
        <v>0</v>
      </c>
      <c r="O24">
        <v>0</v>
      </c>
      <c r="Q24" s="4">
        <v>44540</v>
      </c>
      <c r="R24">
        <v>1.48</v>
      </c>
      <c r="S24">
        <v>1.5980000000000001</v>
      </c>
      <c r="T24">
        <v>1.266</v>
      </c>
      <c r="V24">
        <v>-0.1000000000000001</v>
      </c>
      <c r="X24" s="4">
        <v>44540</v>
      </c>
      <c r="Y24">
        <v>2.44</v>
      </c>
      <c r="Z24">
        <v>2.4380000000000002</v>
      </c>
      <c r="AA24">
        <v>2.2120000000000002</v>
      </c>
      <c r="AC24">
        <v>-0.28999999999999998</v>
      </c>
      <c r="AE24" s="4">
        <v>44540</v>
      </c>
      <c r="AF24">
        <v>-0.96</v>
      </c>
      <c r="AG24">
        <v>-0.79200000000000004</v>
      </c>
      <c r="AH24">
        <v>-1.05</v>
      </c>
      <c r="AJ24">
        <v>0.18999999999999989</v>
      </c>
      <c r="AL24" s="4">
        <v>44540</v>
      </c>
      <c r="AM24">
        <v>0.80999999999999994</v>
      </c>
      <c r="AN24">
        <v>0</v>
      </c>
    </row>
    <row r="25" spans="1:40" x14ac:dyDescent="0.3">
      <c r="D25" s="4">
        <v>45639</v>
      </c>
      <c r="E25">
        <v>1</v>
      </c>
      <c r="F25">
        <v>0.5</v>
      </c>
      <c r="G25">
        <v>2.5</v>
      </c>
      <c r="I25">
        <v>1</v>
      </c>
      <c r="K25" s="4">
        <v>45639</v>
      </c>
      <c r="L25">
        <v>4</v>
      </c>
      <c r="N25">
        <v>0</v>
      </c>
      <c r="O25">
        <v>0</v>
      </c>
      <c r="Q25" s="4">
        <v>44547</v>
      </c>
      <c r="R25">
        <v>1.41</v>
      </c>
      <c r="S25">
        <v>1.5980000000000001</v>
      </c>
      <c r="T25">
        <v>1.292</v>
      </c>
      <c r="V25">
        <v>-0.13000000000000009</v>
      </c>
      <c r="X25" s="4">
        <v>44547</v>
      </c>
      <c r="Y25">
        <v>2.38</v>
      </c>
      <c r="Z25">
        <v>2.4380000000000002</v>
      </c>
      <c r="AA25">
        <v>2.2240000000000002</v>
      </c>
      <c r="AC25">
        <v>-0.27</v>
      </c>
      <c r="AE25" s="4">
        <v>44547</v>
      </c>
      <c r="AF25">
        <v>-0.97</v>
      </c>
      <c r="AG25">
        <v>-0.79200000000000004</v>
      </c>
      <c r="AH25">
        <v>-1.05</v>
      </c>
      <c r="AJ25">
        <v>0.1400000000000001</v>
      </c>
      <c r="AL25" s="4">
        <v>44547</v>
      </c>
      <c r="AM25">
        <v>0.74999999999999989</v>
      </c>
      <c r="AN25">
        <v>0</v>
      </c>
    </row>
    <row r="26" spans="1:40" x14ac:dyDescent="0.3">
      <c r="D26" s="4">
        <v>45646</v>
      </c>
      <c r="E26">
        <v>2</v>
      </c>
      <c r="F26">
        <v>0.5</v>
      </c>
      <c r="G26">
        <v>2.5</v>
      </c>
      <c r="I26">
        <v>1</v>
      </c>
      <c r="K26" s="4">
        <v>45646</v>
      </c>
      <c r="L26">
        <v>2</v>
      </c>
      <c r="N26">
        <v>1</v>
      </c>
      <c r="O26">
        <v>0</v>
      </c>
      <c r="Q26" s="4">
        <v>44554</v>
      </c>
      <c r="R26">
        <v>1.5</v>
      </c>
      <c r="S26">
        <v>1.5980000000000001</v>
      </c>
      <c r="T26">
        <v>1.302</v>
      </c>
      <c r="V26">
        <v>2.0000000000000021E-2</v>
      </c>
      <c r="X26" s="4">
        <v>44554</v>
      </c>
      <c r="Y26">
        <v>2.4700000000000002</v>
      </c>
      <c r="Z26">
        <v>2.464</v>
      </c>
      <c r="AA26">
        <v>2.2440000000000002</v>
      </c>
      <c r="AC26">
        <v>-7.9999999999999627E-2</v>
      </c>
      <c r="AE26" s="4">
        <v>44554</v>
      </c>
      <c r="AF26">
        <v>-0.97</v>
      </c>
      <c r="AG26">
        <v>-0.79200000000000004</v>
      </c>
      <c r="AH26">
        <v>-1.05</v>
      </c>
      <c r="AJ26">
        <v>0.1000000000000001</v>
      </c>
      <c r="AL26" s="4">
        <v>44554</v>
      </c>
      <c r="AM26">
        <v>0.79</v>
      </c>
      <c r="AN26">
        <v>0</v>
      </c>
    </row>
    <row r="27" spans="1:40" x14ac:dyDescent="0.3">
      <c r="D27" s="4">
        <v>45653</v>
      </c>
      <c r="E27">
        <v>1</v>
      </c>
      <c r="F27">
        <v>0.5</v>
      </c>
      <c r="G27">
        <v>2.5</v>
      </c>
      <c r="I27">
        <v>1</v>
      </c>
      <c r="K27" s="4">
        <v>45653</v>
      </c>
      <c r="L27">
        <v>1</v>
      </c>
      <c r="N27">
        <v>1</v>
      </c>
      <c r="O27">
        <v>1</v>
      </c>
      <c r="Q27" s="4">
        <v>44561</v>
      </c>
      <c r="R27">
        <v>1.52</v>
      </c>
      <c r="S27">
        <v>1.5980000000000001</v>
      </c>
      <c r="T27">
        <v>1.31</v>
      </c>
      <c r="V27">
        <v>0.1699999999999999</v>
      </c>
      <c r="X27" s="4">
        <v>44561</v>
      </c>
      <c r="Y27">
        <v>2.56</v>
      </c>
      <c r="Z27">
        <v>2.4860000000000002</v>
      </c>
      <c r="AA27">
        <v>2.262</v>
      </c>
      <c r="AC27">
        <v>0.12999999999999989</v>
      </c>
      <c r="AE27" s="4">
        <v>44561</v>
      </c>
      <c r="AF27">
        <v>-1.04</v>
      </c>
      <c r="AG27">
        <v>-0.79200000000000004</v>
      </c>
      <c r="AH27">
        <v>-1.048</v>
      </c>
      <c r="AJ27">
        <v>4.0000000000000042E-2</v>
      </c>
      <c r="AL27" s="4">
        <v>44561</v>
      </c>
      <c r="AM27">
        <v>0.79</v>
      </c>
      <c r="AN27">
        <v>0</v>
      </c>
    </row>
    <row r="28" spans="1:40" x14ac:dyDescent="0.3">
      <c r="D28" s="4">
        <v>45660</v>
      </c>
      <c r="E28">
        <v>1</v>
      </c>
      <c r="F28">
        <v>0.5</v>
      </c>
      <c r="G28">
        <v>2.5</v>
      </c>
      <c r="I28">
        <v>1</v>
      </c>
      <c r="K28" s="4">
        <v>45660</v>
      </c>
      <c r="L28">
        <v>1</v>
      </c>
      <c r="N28">
        <v>1</v>
      </c>
      <c r="O28">
        <v>1</v>
      </c>
      <c r="Q28" s="4">
        <v>44568</v>
      </c>
      <c r="R28">
        <v>1.76</v>
      </c>
      <c r="S28">
        <v>1.6080000000000001</v>
      </c>
      <c r="T28">
        <v>1.31</v>
      </c>
      <c r="V28">
        <v>0.28000000000000003</v>
      </c>
      <c r="X28" s="4">
        <v>44568</v>
      </c>
      <c r="Y28">
        <v>2.48</v>
      </c>
      <c r="Z28">
        <v>2.488</v>
      </c>
      <c r="AA28">
        <v>2.2719999999999998</v>
      </c>
      <c r="AC28">
        <v>4.0000000000000042E-2</v>
      </c>
      <c r="AE28" s="4">
        <v>44568</v>
      </c>
      <c r="AF28">
        <v>-0.72</v>
      </c>
      <c r="AG28">
        <v>-0.77399999999999991</v>
      </c>
      <c r="AH28">
        <v>-1.048</v>
      </c>
      <c r="AJ28">
        <v>0.24</v>
      </c>
      <c r="AL28" s="4">
        <v>44568</v>
      </c>
      <c r="AM28">
        <v>0.89</v>
      </c>
      <c r="AN28">
        <v>0</v>
      </c>
    </row>
    <row r="29" spans="1:40" x14ac:dyDescent="0.3">
      <c r="D29" s="4">
        <v>45667</v>
      </c>
      <c r="E29">
        <v>2</v>
      </c>
      <c r="F29">
        <v>0.5</v>
      </c>
      <c r="G29">
        <v>2.5</v>
      </c>
      <c r="I29">
        <v>1</v>
      </c>
      <c r="K29" s="4">
        <v>45667</v>
      </c>
      <c r="L29">
        <v>1</v>
      </c>
      <c r="N29">
        <v>1</v>
      </c>
      <c r="O29">
        <v>1</v>
      </c>
      <c r="Q29" s="4">
        <v>44575</v>
      </c>
      <c r="R29">
        <v>1.78</v>
      </c>
      <c r="S29">
        <v>1.6259999999999999</v>
      </c>
      <c r="T29">
        <v>1.3140000000000001</v>
      </c>
      <c r="V29">
        <v>0.37000000000000011</v>
      </c>
      <c r="X29" s="4">
        <v>44575</v>
      </c>
      <c r="Y29">
        <v>2.44</v>
      </c>
      <c r="Z29">
        <v>2.488</v>
      </c>
      <c r="AA29">
        <v>2.286</v>
      </c>
      <c r="AC29">
        <v>6.0000000000000053E-2</v>
      </c>
      <c r="AE29" s="4">
        <v>44575</v>
      </c>
      <c r="AF29">
        <v>-0.66</v>
      </c>
      <c r="AG29">
        <v>-0.76200000000000001</v>
      </c>
      <c r="AH29">
        <v>-1.048</v>
      </c>
      <c r="AJ29">
        <v>0.30999999999999989</v>
      </c>
      <c r="AL29" s="4">
        <v>44575</v>
      </c>
      <c r="AM29">
        <v>0.79</v>
      </c>
      <c r="AN29">
        <v>0</v>
      </c>
    </row>
    <row r="30" spans="1:40" x14ac:dyDescent="0.3">
      <c r="D30" s="4">
        <v>45674</v>
      </c>
      <c r="E30">
        <v>0</v>
      </c>
      <c r="F30">
        <v>0.5</v>
      </c>
      <c r="G30">
        <v>2.5</v>
      </c>
      <c r="I30">
        <v>0</v>
      </c>
      <c r="K30" s="4">
        <v>45674</v>
      </c>
      <c r="L30">
        <v>1</v>
      </c>
      <c r="N30">
        <v>1</v>
      </c>
      <c r="O30">
        <v>1</v>
      </c>
      <c r="Q30" s="4">
        <v>44582</v>
      </c>
      <c r="R30">
        <v>1.75</v>
      </c>
      <c r="S30">
        <v>1.63</v>
      </c>
      <c r="T30">
        <v>1.3320000000000001</v>
      </c>
      <c r="V30">
        <v>0.25</v>
      </c>
      <c r="X30" s="4">
        <v>44582</v>
      </c>
      <c r="Y30">
        <v>2.34</v>
      </c>
      <c r="Z30">
        <v>2.488</v>
      </c>
      <c r="AA30">
        <v>2.31</v>
      </c>
      <c r="AC30">
        <v>-0.13000000000000031</v>
      </c>
      <c r="AE30" s="4">
        <v>44582</v>
      </c>
      <c r="AF30">
        <v>-0.59</v>
      </c>
      <c r="AG30">
        <v>-0.76</v>
      </c>
      <c r="AH30">
        <v>-1.048</v>
      </c>
      <c r="AJ30">
        <v>0.38</v>
      </c>
      <c r="AL30" s="4">
        <v>44582</v>
      </c>
      <c r="AM30">
        <v>0.74</v>
      </c>
      <c r="AN30">
        <v>0</v>
      </c>
    </row>
    <row r="31" spans="1:40" x14ac:dyDescent="0.3">
      <c r="D31" s="4">
        <v>45681</v>
      </c>
      <c r="E31">
        <v>0</v>
      </c>
      <c r="F31">
        <v>0.5</v>
      </c>
      <c r="G31">
        <v>2.5</v>
      </c>
      <c r="I31">
        <v>0</v>
      </c>
      <c r="K31" s="4">
        <v>45681</v>
      </c>
      <c r="L31">
        <v>1</v>
      </c>
      <c r="N31">
        <v>1</v>
      </c>
      <c r="O31">
        <v>1</v>
      </c>
      <c r="Q31" s="4">
        <v>44589</v>
      </c>
      <c r="R31">
        <v>1.78</v>
      </c>
      <c r="S31">
        <v>1.6379999999999999</v>
      </c>
      <c r="T31">
        <v>1.3420000000000001</v>
      </c>
      <c r="V31">
        <v>0.26</v>
      </c>
      <c r="X31" s="4">
        <v>44589</v>
      </c>
      <c r="Y31">
        <v>2.44</v>
      </c>
      <c r="Z31">
        <v>2.488</v>
      </c>
      <c r="AA31">
        <v>2.3119999999999998</v>
      </c>
      <c r="AC31">
        <v>-0.12000000000000011</v>
      </c>
      <c r="AE31" s="4">
        <v>44589</v>
      </c>
      <c r="AF31">
        <v>-0.66</v>
      </c>
      <c r="AG31">
        <v>-0.72799999999999976</v>
      </c>
      <c r="AH31">
        <v>-1.048</v>
      </c>
      <c r="AJ31">
        <v>0.38</v>
      </c>
      <c r="AL31" s="4">
        <v>44589</v>
      </c>
      <c r="AM31">
        <v>0.63000000000000012</v>
      </c>
      <c r="AN31">
        <v>0</v>
      </c>
    </row>
    <row r="32" spans="1:40" x14ac:dyDescent="0.3">
      <c r="D32" s="4">
        <v>45688</v>
      </c>
      <c r="E32">
        <v>0</v>
      </c>
      <c r="F32">
        <v>0.5</v>
      </c>
      <c r="G32">
        <v>2.5</v>
      </c>
      <c r="I32">
        <v>0</v>
      </c>
      <c r="K32" s="4">
        <v>45688</v>
      </c>
      <c r="L32">
        <v>1</v>
      </c>
      <c r="N32">
        <v>1</v>
      </c>
      <c r="O32">
        <v>1</v>
      </c>
      <c r="Q32" s="4">
        <v>44596</v>
      </c>
      <c r="R32">
        <v>1.93</v>
      </c>
      <c r="S32">
        <v>1.6479999999999999</v>
      </c>
      <c r="T32">
        <v>1.35</v>
      </c>
      <c r="V32">
        <v>0.1699999999999999</v>
      </c>
      <c r="X32" s="4">
        <v>44596</v>
      </c>
      <c r="Y32">
        <v>2.41</v>
      </c>
      <c r="Z32">
        <v>2.488</v>
      </c>
      <c r="AA32">
        <v>2.3220000000000001</v>
      </c>
      <c r="AC32">
        <v>-6.999999999999984E-2</v>
      </c>
      <c r="AE32" s="4">
        <v>44596</v>
      </c>
      <c r="AF32">
        <v>-0.48</v>
      </c>
      <c r="AG32">
        <v>-0.71199999999999997</v>
      </c>
      <c r="AH32">
        <v>-1.048</v>
      </c>
      <c r="AJ32">
        <v>0.24</v>
      </c>
      <c r="AL32" s="4">
        <v>44596</v>
      </c>
      <c r="AM32">
        <v>0.61999999999999988</v>
      </c>
      <c r="AN32">
        <v>0</v>
      </c>
    </row>
    <row r="33" spans="4:40" x14ac:dyDescent="0.3">
      <c r="D33" s="4">
        <v>45695</v>
      </c>
      <c r="E33">
        <v>0</v>
      </c>
      <c r="F33">
        <v>0.5</v>
      </c>
      <c r="G33">
        <v>2.5</v>
      </c>
      <c r="I33">
        <v>0</v>
      </c>
      <c r="K33" s="4">
        <v>45695</v>
      </c>
      <c r="L33">
        <v>3</v>
      </c>
      <c r="N33">
        <v>0</v>
      </c>
      <c r="O33">
        <v>1</v>
      </c>
      <c r="Q33" s="4">
        <v>44603</v>
      </c>
      <c r="R33">
        <v>1.92</v>
      </c>
      <c r="S33">
        <v>1.6579999999999999</v>
      </c>
      <c r="T33">
        <v>1.3540000000000001</v>
      </c>
      <c r="V33">
        <v>0.1399999999999999</v>
      </c>
      <c r="X33" s="4">
        <v>44603</v>
      </c>
      <c r="Y33">
        <v>2.4300000000000002</v>
      </c>
      <c r="Z33">
        <v>2.488</v>
      </c>
      <c r="AA33">
        <v>2.33</v>
      </c>
      <c r="AC33">
        <v>-9.9999999999997868E-3</v>
      </c>
      <c r="AE33" s="4">
        <v>44603</v>
      </c>
      <c r="AF33">
        <v>-0.51</v>
      </c>
      <c r="AG33">
        <v>-0.67799999999999983</v>
      </c>
      <c r="AH33">
        <v>-1.048</v>
      </c>
      <c r="AJ33">
        <v>0.15</v>
      </c>
      <c r="AL33" s="4">
        <v>44603</v>
      </c>
      <c r="AM33">
        <v>0.41999999999999987</v>
      </c>
      <c r="AN33">
        <v>0</v>
      </c>
    </row>
    <row r="34" spans="4:40" x14ac:dyDescent="0.3">
      <c r="D34" s="4">
        <v>45702</v>
      </c>
      <c r="E34">
        <v>1</v>
      </c>
      <c r="F34">
        <v>0.5</v>
      </c>
      <c r="G34">
        <v>2.5</v>
      </c>
      <c r="I34">
        <v>1</v>
      </c>
      <c r="K34" s="4">
        <v>45702</v>
      </c>
      <c r="L34">
        <v>3</v>
      </c>
      <c r="N34">
        <v>0</v>
      </c>
      <c r="O34">
        <v>1</v>
      </c>
      <c r="Q34" s="4">
        <v>44610</v>
      </c>
      <c r="R34">
        <v>1.92</v>
      </c>
      <c r="S34">
        <v>1.6679999999999999</v>
      </c>
      <c r="T34">
        <v>1.37</v>
      </c>
      <c r="V34">
        <v>0.1699999999999999</v>
      </c>
      <c r="X34" s="4">
        <v>44610</v>
      </c>
      <c r="Y34">
        <v>2.41</v>
      </c>
      <c r="Z34">
        <v>2.488</v>
      </c>
      <c r="AA34">
        <v>2.33</v>
      </c>
      <c r="AC34">
        <v>7.0000000000000284E-2</v>
      </c>
      <c r="AE34" s="4">
        <v>44610</v>
      </c>
      <c r="AF34">
        <v>-0.49</v>
      </c>
      <c r="AG34">
        <v>-0.66200000000000003</v>
      </c>
      <c r="AH34">
        <v>-1.048</v>
      </c>
      <c r="AJ34">
        <v>9.9999999999999978E-2</v>
      </c>
      <c r="AL34" s="4">
        <v>44610</v>
      </c>
      <c r="AM34">
        <v>0.45</v>
      </c>
      <c r="AN34">
        <v>0</v>
      </c>
    </row>
    <row r="35" spans="4:40" x14ac:dyDescent="0.3">
      <c r="D35" s="4">
        <v>45709</v>
      </c>
      <c r="E35">
        <v>2</v>
      </c>
      <c r="F35">
        <v>0.5</v>
      </c>
      <c r="G35">
        <v>2.5</v>
      </c>
      <c r="I35">
        <v>1</v>
      </c>
      <c r="K35" s="4">
        <v>45709</v>
      </c>
      <c r="L35">
        <v>3</v>
      </c>
      <c r="N35">
        <v>0</v>
      </c>
      <c r="O35">
        <v>1</v>
      </c>
      <c r="Q35" s="4">
        <v>44617</v>
      </c>
      <c r="R35">
        <v>1.97</v>
      </c>
      <c r="S35">
        <v>1.67</v>
      </c>
      <c r="T35">
        <v>1.37</v>
      </c>
      <c r="V35">
        <v>0.18999999999999989</v>
      </c>
      <c r="X35" s="4">
        <v>44617</v>
      </c>
      <c r="Y35">
        <v>2.54</v>
      </c>
      <c r="Z35">
        <v>2.4980000000000002</v>
      </c>
      <c r="AA35">
        <v>2.3319999999999999</v>
      </c>
      <c r="AC35">
        <v>0.1000000000000001</v>
      </c>
      <c r="AE35" s="4">
        <v>44617</v>
      </c>
      <c r="AF35">
        <v>-0.56999999999999995</v>
      </c>
      <c r="AG35">
        <v>-0.66</v>
      </c>
      <c r="AH35">
        <v>-1.048</v>
      </c>
      <c r="AJ35">
        <v>9.000000000000008E-2</v>
      </c>
      <c r="AL35" s="4">
        <v>44617</v>
      </c>
      <c r="AM35">
        <v>0.41999999999999987</v>
      </c>
      <c r="AN35">
        <v>0</v>
      </c>
    </row>
    <row r="36" spans="4:40" x14ac:dyDescent="0.3">
      <c r="D36" s="4">
        <v>45716</v>
      </c>
      <c r="E36">
        <v>3</v>
      </c>
      <c r="F36">
        <v>0.5</v>
      </c>
      <c r="G36">
        <v>2.5</v>
      </c>
      <c r="I36">
        <v>2</v>
      </c>
      <c r="K36" s="4">
        <v>45716</v>
      </c>
      <c r="L36">
        <v>3</v>
      </c>
      <c r="N36">
        <v>0</v>
      </c>
      <c r="O36">
        <v>1</v>
      </c>
      <c r="Q36" s="4">
        <v>44624</v>
      </c>
      <c r="R36">
        <v>1.74</v>
      </c>
      <c r="S36">
        <v>1.71</v>
      </c>
      <c r="T36">
        <v>1.37</v>
      </c>
      <c r="V36">
        <v>-0.18999999999999989</v>
      </c>
      <c r="X36" s="4">
        <v>44624</v>
      </c>
      <c r="Y36">
        <v>2.67</v>
      </c>
      <c r="Z36">
        <v>2.508</v>
      </c>
      <c r="AA36">
        <v>2.34</v>
      </c>
      <c r="AC36">
        <v>0.25999999999999979</v>
      </c>
      <c r="AE36" s="4">
        <v>44624</v>
      </c>
      <c r="AF36">
        <v>-0.93</v>
      </c>
      <c r="AG36">
        <v>-0.66200000000000003</v>
      </c>
      <c r="AH36">
        <v>-1.048</v>
      </c>
      <c r="AJ36">
        <v>-0.45000000000000012</v>
      </c>
      <c r="AL36" s="4">
        <v>44624</v>
      </c>
      <c r="AM36">
        <v>0.24</v>
      </c>
      <c r="AN36">
        <v>0</v>
      </c>
    </row>
    <row r="37" spans="4:40" x14ac:dyDescent="0.3">
      <c r="D37" s="4">
        <v>45723</v>
      </c>
      <c r="E37">
        <v>2</v>
      </c>
      <c r="F37">
        <v>0.5</v>
      </c>
      <c r="G37">
        <v>2.5</v>
      </c>
      <c r="I37">
        <v>1</v>
      </c>
      <c r="K37" s="4">
        <v>45723</v>
      </c>
      <c r="L37">
        <v>4</v>
      </c>
      <c r="N37">
        <v>0</v>
      </c>
      <c r="O37">
        <v>0</v>
      </c>
      <c r="Q37" s="4">
        <v>44631</v>
      </c>
      <c r="R37">
        <v>2</v>
      </c>
      <c r="S37">
        <v>1.736</v>
      </c>
      <c r="T37">
        <v>1.37</v>
      </c>
      <c r="V37">
        <v>8.0000000000000071E-2</v>
      </c>
      <c r="X37" s="4">
        <v>44631</v>
      </c>
      <c r="Y37">
        <v>2.94</v>
      </c>
      <c r="Z37">
        <v>2.5099999999999998</v>
      </c>
      <c r="AA37">
        <v>2.34</v>
      </c>
      <c r="AC37">
        <v>0.50999999999999979</v>
      </c>
      <c r="AE37" s="4">
        <v>44631</v>
      </c>
      <c r="AF37">
        <v>-0.94</v>
      </c>
      <c r="AG37">
        <v>-0.67999999999999983</v>
      </c>
      <c r="AH37">
        <v>-1.048</v>
      </c>
      <c r="AJ37">
        <v>-0.42999999999999988</v>
      </c>
      <c r="AL37" s="4">
        <v>44631</v>
      </c>
      <c r="AM37">
        <v>0.25</v>
      </c>
      <c r="AN37">
        <v>0</v>
      </c>
    </row>
    <row r="38" spans="4:40" x14ac:dyDescent="0.3">
      <c r="D38" s="4">
        <v>45730</v>
      </c>
      <c r="E38">
        <v>2</v>
      </c>
      <c r="F38">
        <v>0.5</v>
      </c>
      <c r="G38">
        <v>2.5</v>
      </c>
      <c r="I38">
        <v>1</v>
      </c>
      <c r="K38" s="4">
        <v>45730</v>
      </c>
      <c r="L38">
        <v>4</v>
      </c>
      <c r="N38">
        <v>0</v>
      </c>
      <c r="O38">
        <v>0</v>
      </c>
      <c r="Q38" s="4">
        <v>44638</v>
      </c>
      <c r="R38">
        <v>2.14</v>
      </c>
      <c r="S38">
        <v>1.736</v>
      </c>
      <c r="T38">
        <v>1.37</v>
      </c>
      <c r="V38">
        <v>0.2200000000000002</v>
      </c>
      <c r="X38" s="4">
        <v>44638</v>
      </c>
      <c r="Y38">
        <v>2.86</v>
      </c>
      <c r="Z38">
        <v>2.5339999999999998</v>
      </c>
      <c r="AA38">
        <v>2.34</v>
      </c>
      <c r="AC38">
        <v>0.44999999999999968</v>
      </c>
      <c r="AE38" s="4">
        <v>44638</v>
      </c>
      <c r="AF38">
        <v>-0.72</v>
      </c>
      <c r="AG38">
        <v>-0.72</v>
      </c>
      <c r="AH38">
        <v>-1.048</v>
      </c>
      <c r="AJ38">
        <v>-0.23</v>
      </c>
      <c r="AL38" s="4">
        <v>44638</v>
      </c>
      <c r="AM38">
        <v>0.17000000000000021</v>
      </c>
      <c r="AN38">
        <v>0</v>
      </c>
    </row>
    <row r="39" spans="4:40" x14ac:dyDescent="0.3">
      <c r="D39" s="4">
        <v>45737</v>
      </c>
      <c r="E39">
        <v>2</v>
      </c>
      <c r="F39">
        <v>0.5</v>
      </c>
      <c r="G39">
        <v>2.5</v>
      </c>
      <c r="I39">
        <v>1</v>
      </c>
      <c r="K39" s="4">
        <v>45737</v>
      </c>
      <c r="L39">
        <v>4</v>
      </c>
      <c r="N39">
        <v>0</v>
      </c>
      <c r="O39">
        <v>0</v>
      </c>
      <c r="Q39" s="4">
        <v>44645</v>
      </c>
      <c r="R39">
        <v>2.48</v>
      </c>
      <c r="S39">
        <v>1.748</v>
      </c>
      <c r="T39">
        <v>1.37</v>
      </c>
      <c r="V39">
        <v>0.51</v>
      </c>
      <c r="X39" s="4">
        <v>44645</v>
      </c>
      <c r="Y39">
        <v>2.95</v>
      </c>
      <c r="Z39">
        <v>2.54</v>
      </c>
      <c r="AA39">
        <v>2.34</v>
      </c>
      <c r="AC39">
        <v>0.41000000000000009</v>
      </c>
      <c r="AE39" s="4">
        <v>44645</v>
      </c>
      <c r="AF39">
        <v>-0.47</v>
      </c>
      <c r="AG39">
        <v>-0.72</v>
      </c>
      <c r="AH39">
        <v>-1.048</v>
      </c>
      <c r="AJ39">
        <v>9.9999999999999978E-2</v>
      </c>
      <c r="AL39" s="4">
        <v>44645</v>
      </c>
      <c r="AM39">
        <v>0.18000000000000019</v>
      </c>
      <c r="AN39">
        <v>0</v>
      </c>
    </row>
    <row r="40" spans="4:40" x14ac:dyDescent="0.3">
      <c r="D40" s="4">
        <v>45744</v>
      </c>
      <c r="E40">
        <v>2</v>
      </c>
      <c r="F40">
        <v>0.5</v>
      </c>
      <c r="G40">
        <v>2.5</v>
      </c>
      <c r="I40">
        <v>1</v>
      </c>
      <c r="K40" s="4">
        <v>45744</v>
      </c>
      <c r="L40">
        <v>2</v>
      </c>
      <c r="N40">
        <v>1</v>
      </c>
      <c r="O40">
        <v>0</v>
      </c>
      <c r="Q40" s="4">
        <v>44652</v>
      </c>
      <c r="R40">
        <v>2.39</v>
      </c>
      <c r="S40">
        <v>1.758</v>
      </c>
      <c r="T40">
        <v>1.37</v>
      </c>
      <c r="V40">
        <v>0.65000000000000013</v>
      </c>
      <c r="X40" s="4">
        <v>44652</v>
      </c>
      <c r="Y40">
        <v>2.8</v>
      </c>
      <c r="Z40">
        <v>2.548</v>
      </c>
      <c r="AA40">
        <v>2.34</v>
      </c>
      <c r="AC40">
        <v>0.12999999999999989</v>
      </c>
      <c r="AE40" s="4">
        <v>44652</v>
      </c>
      <c r="AF40">
        <v>-0.41</v>
      </c>
      <c r="AG40">
        <v>-0.72</v>
      </c>
      <c r="AH40">
        <v>-1.048</v>
      </c>
      <c r="AJ40">
        <v>0.52</v>
      </c>
      <c r="AL40" s="4">
        <v>44652</v>
      </c>
      <c r="AM40">
        <v>-4.9999999999999822E-2</v>
      </c>
      <c r="AN40">
        <v>0</v>
      </c>
    </row>
    <row r="41" spans="4:40" x14ac:dyDescent="0.3">
      <c r="D41" s="4">
        <v>45751</v>
      </c>
      <c r="E41">
        <v>2</v>
      </c>
      <c r="F41">
        <v>0.5</v>
      </c>
      <c r="G41">
        <v>2.5</v>
      </c>
      <c r="I41">
        <v>1</v>
      </c>
      <c r="K41" s="4">
        <v>45751</v>
      </c>
      <c r="L41">
        <v>4</v>
      </c>
      <c r="N41">
        <v>0</v>
      </c>
      <c r="O41">
        <v>0</v>
      </c>
      <c r="Q41" s="4">
        <v>44659</v>
      </c>
      <c r="R41">
        <v>2.72</v>
      </c>
      <c r="S41">
        <v>1.776</v>
      </c>
      <c r="T41">
        <v>1.37</v>
      </c>
      <c r="V41">
        <v>0.7200000000000002</v>
      </c>
      <c r="X41" s="4">
        <v>44659</v>
      </c>
      <c r="Y41">
        <v>2.87</v>
      </c>
      <c r="Z41">
        <v>2.5579999999999998</v>
      </c>
      <c r="AA41">
        <v>2.34</v>
      </c>
      <c r="AC41">
        <v>-6.999999999999984E-2</v>
      </c>
      <c r="AE41" s="4">
        <v>44659</v>
      </c>
      <c r="AF41">
        <v>-0.15</v>
      </c>
      <c r="AG41">
        <v>-0.72</v>
      </c>
      <c r="AH41">
        <v>-1.048</v>
      </c>
      <c r="AJ41">
        <v>0.78999999999999992</v>
      </c>
      <c r="AL41" s="4">
        <v>44659</v>
      </c>
      <c r="AM41">
        <v>0.19000000000000039</v>
      </c>
      <c r="AN41">
        <v>0</v>
      </c>
    </row>
    <row r="42" spans="4:40" x14ac:dyDescent="0.3">
      <c r="D42" s="4">
        <v>45758</v>
      </c>
      <c r="E42">
        <v>3</v>
      </c>
      <c r="F42">
        <v>0.5</v>
      </c>
      <c r="G42">
        <v>2.5</v>
      </c>
      <c r="I42">
        <v>2</v>
      </c>
      <c r="K42" s="4">
        <v>45758</v>
      </c>
      <c r="L42">
        <v>2</v>
      </c>
      <c r="N42">
        <v>1</v>
      </c>
      <c r="O42">
        <v>0</v>
      </c>
      <c r="Q42" s="4">
        <v>44666</v>
      </c>
      <c r="R42">
        <v>2.83</v>
      </c>
      <c r="S42">
        <v>1.78</v>
      </c>
      <c r="T42">
        <v>1.37</v>
      </c>
      <c r="V42">
        <v>0.69</v>
      </c>
      <c r="X42" s="4">
        <v>44666</v>
      </c>
      <c r="Y42">
        <v>2.89</v>
      </c>
      <c r="Z42">
        <v>2.56</v>
      </c>
      <c r="AA42">
        <v>2.34</v>
      </c>
      <c r="AC42">
        <v>3.0000000000000249E-2</v>
      </c>
      <c r="AE42" s="4">
        <v>44666</v>
      </c>
      <c r="AF42">
        <v>-0.06</v>
      </c>
      <c r="AG42">
        <v>-0.67199999999999971</v>
      </c>
      <c r="AH42">
        <v>-1.048</v>
      </c>
      <c r="AJ42">
        <v>0.65999999999999992</v>
      </c>
      <c r="AL42" s="4">
        <v>44666</v>
      </c>
      <c r="AM42">
        <v>0.35999999999999988</v>
      </c>
      <c r="AN42">
        <v>0</v>
      </c>
    </row>
    <row r="43" spans="4:40" x14ac:dyDescent="0.3">
      <c r="D43" s="4">
        <v>45765</v>
      </c>
      <c r="E43">
        <v>3</v>
      </c>
      <c r="F43">
        <v>0.5</v>
      </c>
      <c r="G43">
        <v>2.5</v>
      </c>
      <c r="I43">
        <v>2</v>
      </c>
      <c r="K43" s="4">
        <v>45765</v>
      </c>
      <c r="L43">
        <v>2</v>
      </c>
      <c r="N43">
        <v>1</v>
      </c>
      <c r="O43">
        <v>0</v>
      </c>
      <c r="Q43" s="4">
        <v>44673</v>
      </c>
      <c r="R43">
        <v>2.9</v>
      </c>
      <c r="S43">
        <v>1.892000000000001</v>
      </c>
      <c r="T43">
        <v>1.37</v>
      </c>
      <c r="V43">
        <v>0.41999999999999987</v>
      </c>
      <c r="X43" s="4">
        <v>44673</v>
      </c>
      <c r="Y43">
        <v>2.98</v>
      </c>
      <c r="Z43">
        <v>2.624000000000001</v>
      </c>
      <c r="AA43">
        <v>2.3420000000000001</v>
      </c>
      <c r="AC43">
        <v>2.9999999999999801E-2</v>
      </c>
      <c r="AE43" s="4">
        <v>44673</v>
      </c>
      <c r="AF43">
        <v>-0.08</v>
      </c>
      <c r="AG43">
        <v>-0.66</v>
      </c>
      <c r="AH43">
        <v>-1.048</v>
      </c>
      <c r="AJ43">
        <v>0.39</v>
      </c>
      <c r="AL43" s="4">
        <v>44673</v>
      </c>
      <c r="AM43">
        <v>0.17999999999999969</v>
      </c>
      <c r="AN43">
        <v>0</v>
      </c>
    </row>
    <row r="44" spans="4:40" x14ac:dyDescent="0.3">
      <c r="D44" s="4">
        <v>45772</v>
      </c>
      <c r="E44">
        <v>2</v>
      </c>
      <c r="F44">
        <v>0.5</v>
      </c>
      <c r="G44">
        <v>2.5</v>
      </c>
      <c r="I44">
        <v>1</v>
      </c>
      <c r="K44" s="4">
        <v>45772</v>
      </c>
      <c r="L44">
        <v>2</v>
      </c>
      <c r="N44">
        <v>1</v>
      </c>
      <c r="O44">
        <v>0</v>
      </c>
      <c r="Q44" s="4">
        <v>44680</v>
      </c>
      <c r="R44">
        <v>2.89</v>
      </c>
      <c r="S44">
        <v>1.92</v>
      </c>
      <c r="T44">
        <v>1.37</v>
      </c>
      <c r="V44">
        <v>0.5</v>
      </c>
      <c r="X44" s="4">
        <v>44680</v>
      </c>
      <c r="Y44">
        <v>2.88</v>
      </c>
      <c r="Z44">
        <v>2.6480000000000001</v>
      </c>
      <c r="AA44">
        <v>2.3420000000000001</v>
      </c>
      <c r="AC44">
        <v>8.0000000000000071E-2</v>
      </c>
      <c r="AE44" s="4">
        <v>44680</v>
      </c>
      <c r="AF44">
        <v>0.01</v>
      </c>
      <c r="AG44">
        <v>-0.60399999999999965</v>
      </c>
      <c r="AH44">
        <v>-1.048</v>
      </c>
      <c r="AJ44">
        <v>0.42</v>
      </c>
      <c r="AL44" s="4">
        <v>44680</v>
      </c>
      <c r="AM44">
        <v>0.18999999999999989</v>
      </c>
      <c r="AN44">
        <v>0</v>
      </c>
    </row>
    <row r="45" spans="4:40" x14ac:dyDescent="0.3">
      <c r="D45" s="4">
        <v>45779</v>
      </c>
      <c r="E45">
        <v>3</v>
      </c>
      <c r="F45">
        <v>0.5</v>
      </c>
      <c r="G45">
        <v>2.5</v>
      </c>
      <c r="I45">
        <v>2</v>
      </c>
      <c r="K45" s="4">
        <v>45779</v>
      </c>
      <c r="L45">
        <v>1</v>
      </c>
      <c r="N45">
        <v>1</v>
      </c>
      <c r="O45">
        <v>1</v>
      </c>
      <c r="Q45" s="4">
        <v>44687</v>
      </c>
      <c r="R45">
        <v>3.12</v>
      </c>
      <c r="S45">
        <v>1.9279999999999999</v>
      </c>
      <c r="T45">
        <v>1.37</v>
      </c>
      <c r="V45">
        <v>0.39999999999999991</v>
      </c>
      <c r="X45" s="4">
        <v>44687</v>
      </c>
      <c r="Y45">
        <v>2.86</v>
      </c>
      <c r="Z45">
        <v>2.6659999999999999</v>
      </c>
      <c r="AA45">
        <v>2.3420000000000001</v>
      </c>
      <c r="AC45">
        <v>-1.0000000000000229E-2</v>
      </c>
      <c r="AE45" s="4">
        <v>44687</v>
      </c>
      <c r="AF45">
        <v>0.26</v>
      </c>
      <c r="AG45">
        <v>-0.57399999999999984</v>
      </c>
      <c r="AH45">
        <v>-1.048</v>
      </c>
      <c r="AJ45">
        <v>0.41</v>
      </c>
      <c r="AL45" s="4">
        <v>44687</v>
      </c>
      <c r="AM45">
        <v>0.39999999999999991</v>
      </c>
      <c r="AN45">
        <v>0</v>
      </c>
    </row>
    <row r="46" spans="4:40" x14ac:dyDescent="0.3">
      <c r="D46" s="4">
        <v>45786</v>
      </c>
      <c r="E46">
        <v>2</v>
      </c>
      <c r="F46">
        <v>0.5</v>
      </c>
      <c r="G46">
        <v>2.5</v>
      </c>
      <c r="I46">
        <v>1</v>
      </c>
      <c r="K46" s="4">
        <v>45786</v>
      </c>
      <c r="L46">
        <v>3</v>
      </c>
      <c r="N46">
        <v>0</v>
      </c>
      <c r="O46">
        <v>1</v>
      </c>
      <c r="Q46" s="4">
        <v>44694</v>
      </c>
      <c r="R46">
        <v>2.93</v>
      </c>
      <c r="S46">
        <v>1.962</v>
      </c>
      <c r="T46">
        <v>1.37</v>
      </c>
      <c r="V46">
        <v>0.1000000000000001</v>
      </c>
      <c r="X46" s="4">
        <v>44694</v>
      </c>
      <c r="Y46">
        <v>2.69</v>
      </c>
      <c r="Z46">
        <v>2.6859999999999999</v>
      </c>
      <c r="AA46">
        <v>2.3420000000000001</v>
      </c>
      <c r="AC46">
        <v>-0.20000000000000021</v>
      </c>
      <c r="AE46" s="4">
        <v>44694</v>
      </c>
      <c r="AF46">
        <v>0.24</v>
      </c>
      <c r="AG46">
        <v>-0.5219999999999998</v>
      </c>
      <c r="AH46">
        <v>-1.048</v>
      </c>
      <c r="AJ46">
        <v>0.3</v>
      </c>
      <c r="AL46" s="4">
        <v>44694</v>
      </c>
      <c r="AM46">
        <v>0.32000000000000028</v>
      </c>
      <c r="AN46">
        <v>0</v>
      </c>
    </row>
    <row r="47" spans="4:40" x14ac:dyDescent="0.3">
      <c r="D47" s="4">
        <v>45793</v>
      </c>
      <c r="E47">
        <v>0</v>
      </c>
      <c r="F47">
        <v>0.5</v>
      </c>
      <c r="G47">
        <v>2.5</v>
      </c>
      <c r="I47">
        <v>0</v>
      </c>
      <c r="K47" s="4">
        <v>45793</v>
      </c>
      <c r="L47">
        <v>1</v>
      </c>
      <c r="N47">
        <v>1</v>
      </c>
      <c r="O47">
        <v>1</v>
      </c>
      <c r="Q47" s="4">
        <v>44701</v>
      </c>
      <c r="R47">
        <v>2.78</v>
      </c>
      <c r="S47">
        <v>1.994</v>
      </c>
      <c r="T47">
        <v>1.37</v>
      </c>
      <c r="V47">
        <v>-0.12000000000000011</v>
      </c>
      <c r="X47" s="4">
        <v>44701</v>
      </c>
      <c r="Y47">
        <v>2.5499999999999998</v>
      </c>
      <c r="Z47">
        <v>2.6859999999999999</v>
      </c>
      <c r="AA47">
        <v>2.3420000000000001</v>
      </c>
      <c r="AC47">
        <v>-0.43000000000000022</v>
      </c>
      <c r="AE47" s="4">
        <v>44701</v>
      </c>
      <c r="AF47">
        <v>0.23</v>
      </c>
      <c r="AG47">
        <v>-0.49399999999999988</v>
      </c>
      <c r="AH47">
        <v>-1.048</v>
      </c>
      <c r="AJ47">
        <v>0.31</v>
      </c>
      <c r="AL47" s="4">
        <v>44701</v>
      </c>
      <c r="AM47">
        <v>0.17999999999999969</v>
      </c>
      <c r="AN47">
        <v>0</v>
      </c>
    </row>
    <row r="48" spans="4:40" x14ac:dyDescent="0.3">
      <c r="D48" s="4">
        <v>45800</v>
      </c>
      <c r="E48">
        <v>2</v>
      </c>
      <c r="F48">
        <v>0.5</v>
      </c>
      <c r="G48">
        <v>2.5</v>
      </c>
      <c r="I48">
        <v>1</v>
      </c>
      <c r="K48" s="4">
        <v>45800</v>
      </c>
      <c r="L48">
        <v>1</v>
      </c>
      <c r="N48">
        <v>1</v>
      </c>
      <c r="O48">
        <v>1</v>
      </c>
      <c r="Q48" s="4">
        <v>44708</v>
      </c>
      <c r="R48">
        <v>2.74</v>
      </c>
      <c r="S48">
        <v>2.112000000000001</v>
      </c>
      <c r="T48">
        <v>1.37</v>
      </c>
      <c r="V48">
        <v>-0.14999999999999991</v>
      </c>
      <c r="X48" s="4">
        <v>44708</v>
      </c>
      <c r="Y48">
        <v>2.63</v>
      </c>
      <c r="Z48">
        <v>2.6859999999999999</v>
      </c>
      <c r="AA48">
        <v>2.3420000000000001</v>
      </c>
      <c r="AC48">
        <v>-0.25</v>
      </c>
      <c r="AE48" s="4">
        <v>44708</v>
      </c>
      <c r="AF48">
        <v>0.11</v>
      </c>
      <c r="AG48">
        <v>-0.48199999999999987</v>
      </c>
      <c r="AH48">
        <v>-1.048</v>
      </c>
      <c r="AJ48">
        <v>0.1</v>
      </c>
      <c r="AL48" s="4">
        <v>44708</v>
      </c>
      <c r="AM48">
        <v>0.27</v>
      </c>
      <c r="AN48">
        <v>0</v>
      </c>
    </row>
    <row r="49" spans="4:40" x14ac:dyDescent="0.3">
      <c r="D49" s="4">
        <v>45807</v>
      </c>
      <c r="E49">
        <v>0</v>
      </c>
      <c r="F49">
        <v>0.5</v>
      </c>
      <c r="G49">
        <v>2.5</v>
      </c>
      <c r="I49">
        <v>0</v>
      </c>
      <c r="K49" s="4">
        <v>45807</v>
      </c>
      <c r="L49">
        <v>1</v>
      </c>
      <c r="N49">
        <v>1</v>
      </c>
      <c r="O49">
        <v>1</v>
      </c>
      <c r="Q49" s="4">
        <v>44715</v>
      </c>
      <c r="R49">
        <v>2.96</v>
      </c>
      <c r="S49">
        <v>2.3400000000000012</v>
      </c>
      <c r="T49">
        <v>1.37</v>
      </c>
      <c r="V49">
        <v>-0.16000000000000009</v>
      </c>
      <c r="X49" s="4">
        <v>44715</v>
      </c>
      <c r="Y49">
        <v>2.74</v>
      </c>
      <c r="Z49">
        <v>2.722</v>
      </c>
      <c r="AA49">
        <v>2.3420000000000001</v>
      </c>
      <c r="AC49">
        <v>-0.1199999999999997</v>
      </c>
      <c r="AE49" s="4">
        <v>44715</v>
      </c>
      <c r="AF49">
        <v>0.22</v>
      </c>
      <c r="AG49">
        <v>-0.47199999999999992</v>
      </c>
      <c r="AH49">
        <v>-1.048</v>
      </c>
      <c r="AJ49">
        <v>-4.0000000000000008E-2</v>
      </c>
      <c r="AL49" s="4">
        <v>44715</v>
      </c>
      <c r="AM49">
        <v>0.29999999999999982</v>
      </c>
      <c r="AN49">
        <v>0</v>
      </c>
    </row>
    <row r="50" spans="4:40" x14ac:dyDescent="0.3">
      <c r="D50" s="4">
        <v>45814</v>
      </c>
      <c r="E50">
        <v>1</v>
      </c>
      <c r="F50">
        <v>0.5</v>
      </c>
      <c r="G50">
        <v>2.5</v>
      </c>
      <c r="I50">
        <v>1</v>
      </c>
      <c r="K50" s="4">
        <v>45814</v>
      </c>
      <c r="L50">
        <v>1</v>
      </c>
      <c r="N50">
        <v>1</v>
      </c>
      <c r="O50">
        <v>1</v>
      </c>
      <c r="Q50" s="4">
        <v>44722</v>
      </c>
      <c r="R50">
        <v>3.15</v>
      </c>
      <c r="S50">
        <v>2.4620000000000002</v>
      </c>
      <c r="T50">
        <v>1.37</v>
      </c>
      <c r="V50">
        <v>0.21999999999999981</v>
      </c>
      <c r="X50" s="4">
        <v>44722</v>
      </c>
      <c r="Y50">
        <v>2.76</v>
      </c>
      <c r="Z50">
        <v>2.738</v>
      </c>
      <c r="AA50">
        <v>2.3540000000000001</v>
      </c>
      <c r="AC50">
        <v>6.999999999999984E-2</v>
      </c>
      <c r="AE50" s="4">
        <v>44722</v>
      </c>
      <c r="AF50">
        <v>0.39</v>
      </c>
      <c r="AG50">
        <v>-0.42199999999999971</v>
      </c>
      <c r="AH50">
        <v>-1.048</v>
      </c>
      <c r="AJ50">
        <v>0.15</v>
      </c>
      <c r="AL50" s="4">
        <v>44722</v>
      </c>
      <c r="AM50">
        <v>8.9999999999999858E-2</v>
      </c>
      <c r="AN50">
        <v>0</v>
      </c>
    </row>
    <row r="51" spans="4:40" x14ac:dyDescent="0.3">
      <c r="D51" s="4">
        <v>45821</v>
      </c>
      <c r="E51">
        <v>1</v>
      </c>
      <c r="F51">
        <v>0.5</v>
      </c>
      <c r="G51">
        <v>2.5</v>
      </c>
      <c r="I51">
        <v>1</v>
      </c>
      <c r="K51" s="4">
        <v>45821</v>
      </c>
      <c r="L51">
        <v>4</v>
      </c>
      <c r="N51">
        <v>0</v>
      </c>
      <c r="O51">
        <v>0</v>
      </c>
      <c r="Q51" s="4">
        <v>44729</v>
      </c>
      <c r="R51">
        <v>3.25</v>
      </c>
      <c r="S51">
        <v>2.672000000000001</v>
      </c>
      <c r="T51">
        <v>1.37</v>
      </c>
      <c r="V51">
        <v>0.4700000000000002</v>
      </c>
      <c r="X51" s="4">
        <v>44729</v>
      </c>
      <c r="Y51">
        <v>2.58</v>
      </c>
      <c r="Z51">
        <v>2.738</v>
      </c>
      <c r="AA51">
        <v>2.37</v>
      </c>
      <c r="AC51">
        <v>3.0000000000000249E-2</v>
      </c>
      <c r="AE51" s="4">
        <v>44729</v>
      </c>
      <c r="AF51">
        <v>0.67</v>
      </c>
      <c r="AG51">
        <v>-0.20199999999999879</v>
      </c>
      <c r="AH51">
        <v>-1.048</v>
      </c>
      <c r="AJ51">
        <v>0.44000000000000011</v>
      </c>
      <c r="AL51" s="4">
        <v>44729</v>
      </c>
      <c r="AM51">
        <v>8.0000000000000071E-2</v>
      </c>
      <c r="AN51">
        <v>0</v>
      </c>
    </row>
    <row r="52" spans="4:40" x14ac:dyDescent="0.3">
      <c r="D52" s="4">
        <v>45828</v>
      </c>
      <c r="E52">
        <v>1</v>
      </c>
      <c r="F52">
        <v>0.5</v>
      </c>
      <c r="G52">
        <v>2.5</v>
      </c>
      <c r="I52">
        <v>1</v>
      </c>
      <c r="K52" s="4">
        <v>45828</v>
      </c>
      <c r="L52">
        <v>4</v>
      </c>
      <c r="N52">
        <v>0</v>
      </c>
      <c r="O52">
        <v>0</v>
      </c>
      <c r="Q52" s="4">
        <v>44736</v>
      </c>
      <c r="R52">
        <v>3.13</v>
      </c>
      <c r="S52">
        <v>2.7360000000000002</v>
      </c>
      <c r="T52">
        <v>1.37</v>
      </c>
      <c r="V52">
        <v>0.38999999999999968</v>
      </c>
      <c r="X52" s="4">
        <v>44736</v>
      </c>
      <c r="Y52">
        <v>2.56</v>
      </c>
      <c r="Z52">
        <v>2.738</v>
      </c>
      <c r="AA52">
        <v>2.3719999999999999</v>
      </c>
      <c r="AC52">
        <v>-6.999999999999984E-2</v>
      </c>
      <c r="AE52" s="4">
        <v>44736</v>
      </c>
      <c r="AF52">
        <v>0.56999999999999995</v>
      </c>
      <c r="AG52">
        <v>-9.3999999999999695E-2</v>
      </c>
      <c r="AH52">
        <v>-1.048</v>
      </c>
      <c r="AJ52">
        <v>0.46</v>
      </c>
      <c r="AL52" s="4">
        <v>44736</v>
      </c>
      <c r="AM52">
        <v>8.9999999999999858E-2</v>
      </c>
      <c r="AN52">
        <v>0</v>
      </c>
    </row>
    <row r="53" spans="4:40" x14ac:dyDescent="0.3">
      <c r="D53" s="4">
        <v>45835</v>
      </c>
      <c r="E53">
        <v>0</v>
      </c>
      <c r="F53">
        <v>0.5</v>
      </c>
      <c r="G53">
        <v>2.5</v>
      </c>
      <c r="I53">
        <v>0</v>
      </c>
      <c r="K53" s="4">
        <v>45835</v>
      </c>
      <c r="L53">
        <v>4</v>
      </c>
      <c r="N53">
        <v>0</v>
      </c>
      <c r="O53">
        <v>0</v>
      </c>
      <c r="Q53" s="4">
        <v>44743</v>
      </c>
      <c r="R53">
        <v>2.88</v>
      </c>
      <c r="S53">
        <v>2.7719999999999998</v>
      </c>
      <c r="T53">
        <v>1.37</v>
      </c>
      <c r="V53">
        <v>-8.0000000000000071E-2</v>
      </c>
      <c r="X53" s="4">
        <v>44743</v>
      </c>
      <c r="Y53">
        <v>2.34</v>
      </c>
      <c r="Z53">
        <v>2.738</v>
      </c>
      <c r="AA53">
        <v>2.3719999999999999</v>
      </c>
      <c r="AC53">
        <v>-0.40000000000000041</v>
      </c>
      <c r="AE53" s="4">
        <v>44743</v>
      </c>
      <c r="AF53">
        <v>0.54</v>
      </c>
      <c r="AG53">
        <v>-6.3999999999999918E-2</v>
      </c>
      <c r="AH53">
        <v>-1.048</v>
      </c>
      <c r="AJ53">
        <v>0.32000000000000012</v>
      </c>
      <c r="AL53" s="4">
        <v>44743</v>
      </c>
      <c r="AM53">
        <v>4.0000000000000042E-2</v>
      </c>
      <c r="AN53">
        <v>0</v>
      </c>
    </row>
    <row r="54" spans="4:40" x14ac:dyDescent="0.3">
      <c r="D54" s="4">
        <v>45842</v>
      </c>
      <c r="E54">
        <v>0</v>
      </c>
      <c r="F54">
        <v>0.5</v>
      </c>
      <c r="G54">
        <v>2.5</v>
      </c>
      <c r="I54">
        <v>0</v>
      </c>
      <c r="K54" s="4">
        <v>45842</v>
      </c>
      <c r="L54">
        <v>3</v>
      </c>
      <c r="N54">
        <v>0</v>
      </c>
      <c r="O54">
        <v>1</v>
      </c>
      <c r="Q54" s="4">
        <v>44750</v>
      </c>
      <c r="R54">
        <v>3.09</v>
      </c>
      <c r="S54">
        <v>2.82</v>
      </c>
      <c r="T54">
        <v>1.3779999999999999</v>
      </c>
      <c r="V54">
        <v>-6.0000000000000053E-2</v>
      </c>
      <c r="X54" s="4">
        <v>44750</v>
      </c>
      <c r="Y54">
        <v>2.37</v>
      </c>
      <c r="Z54">
        <v>2.738</v>
      </c>
      <c r="AA54">
        <v>2.3719999999999999</v>
      </c>
      <c r="AC54">
        <v>-0.38999999999999968</v>
      </c>
      <c r="AE54" s="4">
        <v>44750</v>
      </c>
      <c r="AF54">
        <v>0.72</v>
      </c>
      <c r="AG54">
        <v>-3.9999999999997052E-3</v>
      </c>
      <c r="AH54">
        <v>-1.048</v>
      </c>
      <c r="AJ54">
        <v>0.33</v>
      </c>
      <c r="AL54" s="4">
        <v>44750</v>
      </c>
      <c r="AM54">
        <v>-3.0000000000000249E-2</v>
      </c>
      <c r="AN54">
        <v>0</v>
      </c>
    </row>
    <row r="55" spans="4:40" x14ac:dyDescent="0.3">
      <c r="D55" s="4">
        <v>45849</v>
      </c>
      <c r="E55">
        <v>0</v>
      </c>
      <c r="F55">
        <v>0.5</v>
      </c>
      <c r="G55">
        <v>2.5</v>
      </c>
      <c r="I55">
        <v>0</v>
      </c>
      <c r="K55" s="4">
        <v>45849</v>
      </c>
      <c r="L55">
        <v>1</v>
      </c>
      <c r="N55">
        <v>1</v>
      </c>
      <c r="O55">
        <v>1</v>
      </c>
      <c r="Q55" s="4">
        <v>44757</v>
      </c>
      <c r="R55">
        <v>2.93</v>
      </c>
      <c r="S55">
        <v>2.87</v>
      </c>
      <c r="T55">
        <v>1.4179999999999999</v>
      </c>
      <c r="V55">
        <v>-0.31999999999999978</v>
      </c>
      <c r="X55" s="4">
        <v>44757</v>
      </c>
      <c r="Y55">
        <v>2.36</v>
      </c>
      <c r="Z55">
        <v>2.738</v>
      </c>
      <c r="AA55">
        <v>2.3719999999999999</v>
      </c>
      <c r="AC55">
        <v>-0.2200000000000002</v>
      </c>
      <c r="AE55" s="4">
        <v>44757</v>
      </c>
      <c r="AF55">
        <v>0.56999999999999995</v>
      </c>
      <c r="AG55">
        <v>9.0000000000000427E-2</v>
      </c>
      <c r="AH55">
        <v>-1.048</v>
      </c>
      <c r="AJ55">
        <v>-0.1000000000000001</v>
      </c>
      <c r="AL55" s="4">
        <v>44757</v>
      </c>
      <c r="AM55">
        <v>-0.19999999999999971</v>
      </c>
      <c r="AN55">
        <v>0</v>
      </c>
    </row>
    <row r="56" spans="4:40" x14ac:dyDescent="0.3">
      <c r="D56" s="4">
        <v>45856</v>
      </c>
      <c r="E56">
        <v>0</v>
      </c>
      <c r="F56">
        <v>0.5</v>
      </c>
      <c r="G56">
        <v>2.5</v>
      </c>
      <c r="I56">
        <v>0</v>
      </c>
      <c r="K56" s="4">
        <v>45856</v>
      </c>
      <c r="L56">
        <v>1</v>
      </c>
      <c r="N56">
        <v>1</v>
      </c>
      <c r="O56">
        <v>1</v>
      </c>
      <c r="Q56" s="4">
        <v>44764</v>
      </c>
      <c r="R56">
        <v>2.77</v>
      </c>
      <c r="S56">
        <v>2.87</v>
      </c>
      <c r="T56">
        <v>1.454</v>
      </c>
      <c r="V56">
        <v>-0.35999999999999988</v>
      </c>
      <c r="X56" s="4">
        <v>44764</v>
      </c>
      <c r="Y56">
        <v>2.34</v>
      </c>
      <c r="Z56">
        <v>2.738</v>
      </c>
      <c r="AA56">
        <v>2.3719999999999999</v>
      </c>
      <c r="AC56">
        <v>-0.2200000000000002</v>
      </c>
      <c r="AE56" s="4">
        <v>44764</v>
      </c>
      <c r="AF56">
        <v>0.43</v>
      </c>
      <c r="AG56">
        <v>0.19800000000000051</v>
      </c>
      <c r="AH56">
        <v>-1.034</v>
      </c>
      <c r="AJ56">
        <v>-0.14000000000000001</v>
      </c>
      <c r="AL56" s="4">
        <v>44764</v>
      </c>
      <c r="AM56">
        <v>-0.21</v>
      </c>
      <c r="AN56">
        <v>0</v>
      </c>
    </row>
    <row r="57" spans="4:40" x14ac:dyDescent="0.3">
      <c r="D57" s="4">
        <v>45863</v>
      </c>
      <c r="E57">
        <v>0</v>
      </c>
      <c r="F57">
        <v>0.5</v>
      </c>
      <c r="G57">
        <v>2.5</v>
      </c>
      <c r="I57">
        <v>0</v>
      </c>
      <c r="K57" s="4">
        <v>45863</v>
      </c>
      <c r="L57">
        <v>1</v>
      </c>
      <c r="N57">
        <v>1</v>
      </c>
      <c r="O57">
        <v>1</v>
      </c>
      <c r="Q57" s="4">
        <v>44771</v>
      </c>
      <c r="R57">
        <v>2.67</v>
      </c>
      <c r="S57">
        <v>2.87</v>
      </c>
      <c r="T57">
        <v>1.472</v>
      </c>
      <c r="V57">
        <v>-0.21</v>
      </c>
      <c r="X57" s="4">
        <v>44771</v>
      </c>
      <c r="Y57">
        <v>2.5299999999999998</v>
      </c>
      <c r="Z57">
        <v>2.738</v>
      </c>
      <c r="AA57">
        <v>2.3719999999999999</v>
      </c>
      <c r="AC57">
        <v>0.18999999999999989</v>
      </c>
      <c r="AE57" s="4">
        <v>44771</v>
      </c>
      <c r="AF57">
        <v>0.14000000000000001</v>
      </c>
      <c r="AG57">
        <v>0.20400000000000029</v>
      </c>
      <c r="AH57">
        <v>-1.01</v>
      </c>
      <c r="AJ57">
        <v>-0.4</v>
      </c>
      <c r="AL57" s="4">
        <v>44771</v>
      </c>
      <c r="AM57">
        <v>-0.2200000000000002</v>
      </c>
      <c r="AN57">
        <v>0</v>
      </c>
    </row>
    <row r="58" spans="4:40" x14ac:dyDescent="0.3">
      <c r="D58" s="4">
        <v>45870</v>
      </c>
      <c r="E58">
        <v>1</v>
      </c>
      <c r="F58">
        <v>0.5</v>
      </c>
      <c r="G58">
        <v>2.5</v>
      </c>
      <c r="I58">
        <v>1</v>
      </c>
      <c r="K58" s="4">
        <v>45870</v>
      </c>
      <c r="L58">
        <v>4</v>
      </c>
      <c r="N58">
        <v>0</v>
      </c>
      <c r="O58">
        <v>0</v>
      </c>
      <c r="Q58" s="4">
        <v>44778</v>
      </c>
      <c r="R58">
        <v>2.83</v>
      </c>
      <c r="S58">
        <v>2.87</v>
      </c>
      <c r="T58">
        <v>1.48</v>
      </c>
      <c r="V58">
        <v>-0.25999999999999979</v>
      </c>
      <c r="X58" s="4">
        <v>44778</v>
      </c>
      <c r="Y58">
        <v>2.46</v>
      </c>
      <c r="Z58">
        <v>2.738</v>
      </c>
      <c r="AA58">
        <v>2.38</v>
      </c>
      <c r="AC58">
        <v>8.9999999999999858E-2</v>
      </c>
      <c r="AE58" s="4">
        <v>44778</v>
      </c>
      <c r="AF58">
        <v>0.37</v>
      </c>
      <c r="AG58">
        <v>0.22800000000000009</v>
      </c>
      <c r="AH58">
        <v>-1.004</v>
      </c>
      <c r="AJ58">
        <v>-0.35</v>
      </c>
      <c r="AL58" s="4">
        <v>44778</v>
      </c>
      <c r="AM58">
        <v>-0.41000000000000009</v>
      </c>
      <c r="AN58">
        <v>0</v>
      </c>
    </row>
    <row r="59" spans="4:40" x14ac:dyDescent="0.3">
      <c r="D59" s="4">
        <v>45877</v>
      </c>
      <c r="E59">
        <v>0</v>
      </c>
      <c r="F59">
        <v>0.5</v>
      </c>
      <c r="G59">
        <v>2.5</v>
      </c>
      <c r="I59">
        <v>0</v>
      </c>
      <c r="K59" s="4">
        <v>45877</v>
      </c>
      <c r="L59">
        <v>3</v>
      </c>
      <c r="N59">
        <v>0</v>
      </c>
      <c r="O59">
        <v>1</v>
      </c>
      <c r="Q59" s="4">
        <v>44785</v>
      </c>
      <c r="R59">
        <v>2.84</v>
      </c>
      <c r="S59">
        <v>2.8719999999999999</v>
      </c>
      <c r="T59">
        <v>1.48</v>
      </c>
      <c r="V59">
        <v>-9.0000000000000302E-2</v>
      </c>
      <c r="X59" s="4">
        <v>44785</v>
      </c>
      <c r="Y59">
        <v>2.4700000000000002</v>
      </c>
      <c r="Z59">
        <v>2.738</v>
      </c>
      <c r="AA59">
        <v>2.3820000000000001</v>
      </c>
      <c r="AC59">
        <v>0.11000000000000031</v>
      </c>
      <c r="AE59" s="4">
        <v>44785</v>
      </c>
      <c r="AF59">
        <v>0.37</v>
      </c>
      <c r="AG59">
        <v>0.23799999999999999</v>
      </c>
      <c r="AH59">
        <v>-0.97799999999999998</v>
      </c>
      <c r="AJ59">
        <v>-0.2</v>
      </c>
      <c r="AL59" s="4">
        <v>44785</v>
      </c>
      <c r="AM59">
        <v>-0.41000000000000009</v>
      </c>
      <c r="AN59">
        <v>0</v>
      </c>
    </row>
    <row r="60" spans="4:40" x14ac:dyDescent="0.3">
      <c r="D60" s="4">
        <v>45884</v>
      </c>
      <c r="E60">
        <v>0</v>
      </c>
      <c r="F60">
        <v>0.5</v>
      </c>
      <c r="G60">
        <v>2.5</v>
      </c>
      <c r="I60">
        <v>0</v>
      </c>
      <c r="K60" s="4">
        <v>45884</v>
      </c>
      <c r="L60">
        <v>4</v>
      </c>
      <c r="N60">
        <v>0</v>
      </c>
      <c r="O60">
        <v>0</v>
      </c>
      <c r="Q60" s="4">
        <v>44792</v>
      </c>
      <c r="R60">
        <v>2.98</v>
      </c>
      <c r="S60">
        <v>2.8879999999999999</v>
      </c>
      <c r="T60">
        <v>1.484</v>
      </c>
      <c r="V60">
        <v>0.21</v>
      </c>
      <c r="X60" s="4">
        <v>44792</v>
      </c>
      <c r="Y60">
        <v>2.5499999999999998</v>
      </c>
      <c r="Z60">
        <v>2.738</v>
      </c>
      <c r="AA60">
        <v>2.3919999999999999</v>
      </c>
      <c r="AC60">
        <v>0.21</v>
      </c>
      <c r="AE60" s="4">
        <v>44792</v>
      </c>
      <c r="AF60">
        <v>0.43</v>
      </c>
      <c r="AG60">
        <v>0.25600000000000012</v>
      </c>
      <c r="AH60">
        <v>-0.97</v>
      </c>
      <c r="AJ60">
        <v>0</v>
      </c>
      <c r="AL60" s="4">
        <v>44792</v>
      </c>
      <c r="AM60">
        <v>-0.27</v>
      </c>
      <c r="AN60">
        <v>0</v>
      </c>
    </row>
    <row r="61" spans="4:40" x14ac:dyDescent="0.3">
      <c r="D61" s="4">
        <v>45891</v>
      </c>
      <c r="E61">
        <v>2</v>
      </c>
      <c r="F61">
        <v>0.5</v>
      </c>
      <c r="G61">
        <v>2.5</v>
      </c>
      <c r="I61">
        <v>1</v>
      </c>
      <c r="K61" s="4">
        <v>45891</v>
      </c>
      <c r="L61">
        <v>3</v>
      </c>
      <c r="N61">
        <v>0</v>
      </c>
      <c r="O61">
        <v>1</v>
      </c>
      <c r="Q61" s="4">
        <v>44799</v>
      </c>
      <c r="R61">
        <v>3.04</v>
      </c>
      <c r="S61">
        <v>2.8980000000000001</v>
      </c>
      <c r="T61">
        <v>1.504</v>
      </c>
      <c r="V61">
        <v>0.37000000000000011</v>
      </c>
      <c r="X61" s="4">
        <v>44799</v>
      </c>
      <c r="Y61">
        <v>2.57</v>
      </c>
      <c r="Z61">
        <v>2.738</v>
      </c>
      <c r="AA61">
        <v>2.4020000000000001</v>
      </c>
      <c r="AC61">
        <v>4.0000000000000042E-2</v>
      </c>
      <c r="AE61" s="4">
        <v>44799</v>
      </c>
      <c r="AF61">
        <v>0.47</v>
      </c>
      <c r="AG61">
        <v>0.34800000000000048</v>
      </c>
      <c r="AH61">
        <v>-0.97</v>
      </c>
      <c r="AJ61">
        <v>0.33</v>
      </c>
      <c r="AL61" s="4">
        <v>44799</v>
      </c>
      <c r="AM61">
        <v>-0.33000000000000013</v>
      </c>
      <c r="AN61">
        <v>0</v>
      </c>
    </row>
    <row r="62" spans="4:40" x14ac:dyDescent="0.3">
      <c r="D62" s="4">
        <v>45898</v>
      </c>
      <c r="E62">
        <v>0</v>
      </c>
      <c r="F62">
        <v>0.5</v>
      </c>
      <c r="G62">
        <v>2.5</v>
      </c>
      <c r="I62">
        <v>0</v>
      </c>
      <c r="K62" s="4">
        <v>45898</v>
      </c>
      <c r="L62">
        <v>3</v>
      </c>
      <c r="N62">
        <v>0</v>
      </c>
      <c r="O62">
        <v>1</v>
      </c>
      <c r="Q62" s="4">
        <v>44806</v>
      </c>
      <c r="R62">
        <v>3.2</v>
      </c>
      <c r="S62">
        <v>2.9239999999999999</v>
      </c>
      <c r="T62">
        <v>1.524</v>
      </c>
      <c r="V62">
        <v>0.37000000000000011</v>
      </c>
      <c r="X62" s="4">
        <v>44806</v>
      </c>
      <c r="Y62">
        <v>2.4700000000000002</v>
      </c>
      <c r="Z62">
        <v>2.738</v>
      </c>
      <c r="AA62">
        <v>2.41</v>
      </c>
      <c r="AC62">
        <v>1.0000000000000229E-2</v>
      </c>
      <c r="AE62" s="4">
        <v>44806</v>
      </c>
      <c r="AF62">
        <v>0.73</v>
      </c>
      <c r="AG62">
        <v>0.37</v>
      </c>
      <c r="AH62">
        <v>-0.96799999999999997</v>
      </c>
      <c r="AJ62">
        <v>0.36</v>
      </c>
      <c r="AL62" s="4">
        <v>44806</v>
      </c>
      <c r="AM62">
        <v>-0.19999999999999971</v>
      </c>
      <c r="AN62">
        <v>0</v>
      </c>
    </row>
    <row r="63" spans="4:40" x14ac:dyDescent="0.3">
      <c r="D63" s="4">
        <v>45905</v>
      </c>
      <c r="E63">
        <v>1</v>
      </c>
      <c r="F63">
        <v>0.5</v>
      </c>
      <c r="G63">
        <v>2.5</v>
      </c>
      <c r="I63">
        <v>1</v>
      </c>
      <c r="K63" s="4">
        <v>45905</v>
      </c>
      <c r="L63">
        <v>4</v>
      </c>
      <c r="N63">
        <v>0</v>
      </c>
      <c r="O63">
        <v>0</v>
      </c>
      <c r="Q63" s="4">
        <v>44813</v>
      </c>
      <c r="R63">
        <v>3.33</v>
      </c>
      <c r="S63">
        <v>2.93</v>
      </c>
      <c r="T63">
        <v>1.542</v>
      </c>
      <c r="V63">
        <v>0.49000000000000021</v>
      </c>
      <c r="X63" s="4">
        <v>44813</v>
      </c>
      <c r="Y63">
        <v>2.42</v>
      </c>
      <c r="Z63">
        <v>2.738</v>
      </c>
      <c r="AA63">
        <v>2.4119999999999999</v>
      </c>
      <c r="AC63">
        <v>-5.0000000000000273E-2</v>
      </c>
      <c r="AE63" s="4">
        <v>44813</v>
      </c>
      <c r="AF63">
        <v>0.91</v>
      </c>
      <c r="AG63">
        <v>0.38600000000000012</v>
      </c>
      <c r="AH63">
        <v>-0.96</v>
      </c>
      <c r="AJ63">
        <v>0.54</v>
      </c>
      <c r="AL63" s="4">
        <v>44813</v>
      </c>
      <c r="AM63">
        <v>-0.23</v>
      </c>
      <c r="AN63">
        <v>0</v>
      </c>
    </row>
    <row r="64" spans="4:40" x14ac:dyDescent="0.3">
      <c r="D64" s="4">
        <v>45912</v>
      </c>
      <c r="E64">
        <v>1</v>
      </c>
      <c r="F64">
        <v>0.5</v>
      </c>
      <c r="G64">
        <v>2.5</v>
      </c>
      <c r="I64">
        <v>1</v>
      </c>
      <c r="K64" s="4">
        <v>45912</v>
      </c>
      <c r="L64">
        <v>4</v>
      </c>
      <c r="N64">
        <v>0</v>
      </c>
      <c r="O64">
        <v>0</v>
      </c>
      <c r="Q64" s="4">
        <v>44820</v>
      </c>
      <c r="R64">
        <v>3.45</v>
      </c>
      <c r="S64">
        <v>2.9540000000000002</v>
      </c>
      <c r="T64">
        <v>1.556</v>
      </c>
      <c r="V64">
        <v>0.4700000000000002</v>
      </c>
      <c r="X64" s="4">
        <v>44820</v>
      </c>
      <c r="Y64">
        <v>2.38</v>
      </c>
      <c r="Z64">
        <v>2.738</v>
      </c>
      <c r="AA64">
        <v>2.4119999999999999</v>
      </c>
      <c r="AC64">
        <v>-0.1699999999999999</v>
      </c>
      <c r="AE64" s="4">
        <v>44820</v>
      </c>
      <c r="AF64">
        <v>1.07</v>
      </c>
      <c r="AG64">
        <v>0.42200000000000021</v>
      </c>
      <c r="AH64">
        <v>-0.96</v>
      </c>
      <c r="AJ64">
        <v>0.64000000000000012</v>
      </c>
      <c r="AL64" s="4">
        <v>44820</v>
      </c>
      <c r="AM64">
        <v>-0.39999999999999991</v>
      </c>
      <c r="AN64">
        <v>0</v>
      </c>
    </row>
    <row r="65" spans="4:40" x14ac:dyDescent="0.3">
      <c r="D65" s="4">
        <v>45919</v>
      </c>
      <c r="E65">
        <v>0</v>
      </c>
      <c r="F65">
        <v>0.5</v>
      </c>
      <c r="G65">
        <v>2.5</v>
      </c>
      <c r="I65">
        <v>0</v>
      </c>
      <c r="K65" s="4">
        <v>45919</v>
      </c>
      <c r="L65">
        <v>4</v>
      </c>
      <c r="N65">
        <v>0</v>
      </c>
      <c r="O65">
        <v>0</v>
      </c>
      <c r="Q65" s="4">
        <v>44827</v>
      </c>
      <c r="R65">
        <v>3.69</v>
      </c>
      <c r="S65">
        <v>2.976</v>
      </c>
      <c r="T65">
        <v>1.5820000000000001</v>
      </c>
      <c r="V65">
        <v>0.64999999999999991</v>
      </c>
      <c r="X65" s="4">
        <v>44827</v>
      </c>
      <c r="Y65">
        <v>2.37</v>
      </c>
      <c r="Z65">
        <v>2.738</v>
      </c>
      <c r="AA65">
        <v>2.4119999999999999</v>
      </c>
      <c r="AC65">
        <v>-0.19999999999999971</v>
      </c>
      <c r="AE65" s="4">
        <v>44827</v>
      </c>
      <c r="AF65">
        <v>1.32</v>
      </c>
      <c r="AG65">
        <v>0.43</v>
      </c>
      <c r="AH65">
        <v>-0.96</v>
      </c>
      <c r="AJ65">
        <v>0.85000000000000009</v>
      </c>
      <c r="AL65" s="4">
        <v>44827</v>
      </c>
      <c r="AM65">
        <v>-0.51000000000000023</v>
      </c>
      <c r="AN65">
        <v>0</v>
      </c>
    </row>
    <row r="66" spans="4:40" x14ac:dyDescent="0.3">
      <c r="D66" s="4">
        <v>45926</v>
      </c>
      <c r="E66">
        <v>0</v>
      </c>
      <c r="F66">
        <v>0.5</v>
      </c>
      <c r="G66">
        <v>2.5</v>
      </c>
      <c r="I66">
        <v>0</v>
      </c>
      <c r="K66" s="4">
        <v>45926</v>
      </c>
      <c r="L66">
        <v>4</v>
      </c>
      <c r="N66">
        <v>0</v>
      </c>
      <c r="O66">
        <v>0</v>
      </c>
      <c r="Q66" s="4">
        <v>44834</v>
      </c>
      <c r="R66">
        <v>3.83</v>
      </c>
      <c r="S66">
        <v>3.028</v>
      </c>
      <c r="T66">
        <v>1.5940000000000001</v>
      </c>
      <c r="V66">
        <v>0.62999999999999989</v>
      </c>
      <c r="X66" s="4">
        <v>44834</v>
      </c>
      <c r="Y66">
        <v>2.15</v>
      </c>
      <c r="Z66">
        <v>2.738</v>
      </c>
      <c r="AA66">
        <v>2.4119999999999999</v>
      </c>
      <c r="AC66">
        <v>-0.32000000000000028</v>
      </c>
      <c r="AE66" s="4">
        <v>44834</v>
      </c>
      <c r="AF66">
        <v>1.68</v>
      </c>
      <c r="AG66">
        <v>0.46200000000000008</v>
      </c>
      <c r="AH66">
        <v>-0.96</v>
      </c>
      <c r="AJ66">
        <v>0.95</v>
      </c>
      <c r="AL66" s="4">
        <v>44834</v>
      </c>
      <c r="AM66">
        <v>-0.38999999999999968</v>
      </c>
      <c r="AN66">
        <v>0</v>
      </c>
    </row>
    <row r="67" spans="4:40" x14ac:dyDescent="0.3">
      <c r="D67" s="4">
        <v>45933</v>
      </c>
      <c r="E67">
        <v>0</v>
      </c>
      <c r="F67">
        <v>0.5</v>
      </c>
      <c r="G67">
        <v>2.5</v>
      </c>
      <c r="I67">
        <v>0</v>
      </c>
      <c r="K67" s="4">
        <v>45933</v>
      </c>
      <c r="L67">
        <v>2</v>
      </c>
      <c r="N67">
        <v>1</v>
      </c>
      <c r="O67">
        <v>0</v>
      </c>
      <c r="Q67" s="4">
        <v>44841</v>
      </c>
      <c r="R67">
        <v>3.89</v>
      </c>
      <c r="S67">
        <v>3.08</v>
      </c>
      <c r="T67">
        <v>1.6040000000000001</v>
      </c>
      <c r="V67">
        <v>0.56000000000000005</v>
      </c>
      <c r="X67" s="4">
        <v>44841</v>
      </c>
      <c r="Y67">
        <v>2.27</v>
      </c>
      <c r="Z67">
        <v>2.738</v>
      </c>
      <c r="AA67">
        <v>2.41</v>
      </c>
      <c r="AC67">
        <v>-0.14999999999999991</v>
      </c>
      <c r="AE67" s="4">
        <v>44841</v>
      </c>
      <c r="AF67">
        <v>1.62</v>
      </c>
      <c r="AG67">
        <v>0.52600000000000036</v>
      </c>
      <c r="AH67">
        <v>-0.96</v>
      </c>
      <c r="AJ67">
        <v>0.71000000000000008</v>
      </c>
      <c r="AL67" s="4">
        <v>44841</v>
      </c>
      <c r="AM67">
        <v>-0.4099999999999997</v>
      </c>
      <c r="AN67">
        <v>0</v>
      </c>
    </row>
    <row r="68" spans="4:40" x14ac:dyDescent="0.3">
      <c r="D68" s="4">
        <v>45940</v>
      </c>
      <c r="E68">
        <v>2</v>
      </c>
      <c r="F68">
        <v>0.5</v>
      </c>
      <c r="G68">
        <v>2.5</v>
      </c>
      <c r="I68">
        <v>1</v>
      </c>
      <c r="K68" s="4">
        <v>45940</v>
      </c>
      <c r="L68">
        <v>4</v>
      </c>
      <c r="N68">
        <v>0</v>
      </c>
      <c r="O68">
        <v>0</v>
      </c>
      <c r="Q68" s="4">
        <v>44848</v>
      </c>
      <c r="R68">
        <v>4</v>
      </c>
      <c r="S68">
        <v>3.1139999999999999</v>
      </c>
      <c r="T68">
        <v>1.6759999999999999</v>
      </c>
      <c r="V68">
        <v>0.54999999999999982</v>
      </c>
      <c r="X68" s="4">
        <v>44848</v>
      </c>
      <c r="Y68">
        <v>2.41</v>
      </c>
      <c r="Z68">
        <v>2.738</v>
      </c>
      <c r="AA68">
        <v>2.41</v>
      </c>
      <c r="AC68">
        <v>3.0000000000000249E-2</v>
      </c>
      <c r="AE68" s="4">
        <v>44848</v>
      </c>
      <c r="AF68">
        <v>1.59</v>
      </c>
      <c r="AG68">
        <v>0.56400000000000006</v>
      </c>
      <c r="AH68">
        <v>-0.95599999999999996</v>
      </c>
      <c r="AJ68">
        <v>0.52</v>
      </c>
      <c r="AL68" s="4">
        <v>44848</v>
      </c>
      <c r="AM68">
        <v>-0.48000000000000043</v>
      </c>
      <c r="AN68">
        <v>0</v>
      </c>
    </row>
    <row r="69" spans="4:40" x14ac:dyDescent="0.3">
      <c r="D69" s="4">
        <v>45947</v>
      </c>
      <c r="E69">
        <v>1</v>
      </c>
      <c r="F69">
        <v>0.5</v>
      </c>
      <c r="G69">
        <v>2.5</v>
      </c>
      <c r="I69">
        <v>1</v>
      </c>
      <c r="K69" s="4">
        <v>45947</v>
      </c>
      <c r="L69">
        <v>4</v>
      </c>
      <c r="N69">
        <v>0</v>
      </c>
      <c r="O69">
        <v>0</v>
      </c>
      <c r="Q69" s="4">
        <v>44855</v>
      </c>
      <c r="R69">
        <v>4.21</v>
      </c>
      <c r="S69">
        <v>3.1280000000000001</v>
      </c>
      <c r="T69">
        <v>1.742</v>
      </c>
      <c r="V69">
        <v>0.52</v>
      </c>
      <c r="X69" s="4">
        <v>44855</v>
      </c>
      <c r="Y69">
        <v>2.52</v>
      </c>
      <c r="Z69">
        <v>2.738</v>
      </c>
      <c r="AA69">
        <v>2.41</v>
      </c>
      <c r="AC69">
        <v>0.14999999999999991</v>
      </c>
      <c r="AE69" s="4">
        <v>44855</v>
      </c>
      <c r="AF69">
        <v>1.69</v>
      </c>
      <c r="AG69">
        <v>0.56999999999999995</v>
      </c>
      <c r="AH69">
        <v>-0.93799999999999994</v>
      </c>
      <c r="AJ69">
        <v>0.36999999999999988</v>
      </c>
      <c r="AL69" s="4">
        <v>44855</v>
      </c>
      <c r="AM69">
        <v>-0.28000000000000019</v>
      </c>
      <c r="AN69">
        <v>0</v>
      </c>
    </row>
    <row r="70" spans="4:40" x14ac:dyDescent="0.3">
      <c r="D70" s="4">
        <v>45954</v>
      </c>
      <c r="E70">
        <v>1</v>
      </c>
      <c r="F70">
        <v>0.5</v>
      </c>
      <c r="G70">
        <v>2.5</v>
      </c>
      <c r="I70">
        <v>1</v>
      </c>
      <c r="K70" s="4">
        <v>45954</v>
      </c>
      <c r="L70">
        <v>4</v>
      </c>
      <c r="N70">
        <v>0</v>
      </c>
      <c r="O70">
        <v>0</v>
      </c>
      <c r="Q70" s="4">
        <v>44862</v>
      </c>
      <c r="R70">
        <v>4.0199999999999996</v>
      </c>
      <c r="S70">
        <v>3.1459999999999999</v>
      </c>
      <c r="T70">
        <v>1.752</v>
      </c>
      <c r="V70">
        <v>0.1899999999999995</v>
      </c>
      <c r="X70" s="4">
        <v>44862</v>
      </c>
      <c r="Y70">
        <v>2.5099999999999998</v>
      </c>
      <c r="Z70">
        <v>2.738</v>
      </c>
      <c r="AA70">
        <v>2.41</v>
      </c>
      <c r="AC70">
        <v>0.35999999999999988</v>
      </c>
      <c r="AE70" s="4">
        <v>44862</v>
      </c>
      <c r="AF70">
        <v>1.51</v>
      </c>
      <c r="AG70">
        <v>0.65000000000000047</v>
      </c>
      <c r="AH70">
        <v>-0.88799999999999979</v>
      </c>
      <c r="AJ70">
        <v>-0.1699999999999999</v>
      </c>
      <c r="AL70" s="4">
        <v>44862</v>
      </c>
      <c r="AM70">
        <v>-0.39000000000000062</v>
      </c>
      <c r="AN70">
        <v>0</v>
      </c>
    </row>
    <row r="71" spans="4:40" x14ac:dyDescent="0.3">
      <c r="D71" s="4">
        <v>45961</v>
      </c>
      <c r="E71">
        <v>1</v>
      </c>
      <c r="F71">
        <v>0.5</v>
      </c>
      <c r="G71">
        <v>2.5</v>
      </c>
      <c r="I71">
        <v>1</v>
      </c>
      <c r="K71" s="4">
        <v>45961</v>
      </c>
      <c r="L71">
        <v>4</v>
      </c>
      <c r="N71">
        <v>0</v>
      </c>
      <c r="O71">
        <v>0</v>
      </c>
      <c r="Q71" s="4">
        <v>44869</v>
      </c>
      <c r="R71">
        <v>4.17</v>
      </c>
      <c r="S71">
        <v>3.19</v>
      </c>
      <c r="T71">
        <v>1.764</v>
      </c>
      <c r="V71">
        <v>0.2799999999999998</v>
      </c>
      <c r="X71" s="4">
        <v>44869</v>
      </c>
      <c r="Y71">
        <v>2.48</v>
      </c>
      <c r="Z71">
        <v>2.738</v>
      </c>
      <c r="AA71">
        <v>2.41</v>
      </c>
      <c r="AC71">
        <v>0.21</v>
      </c>
      <c r="AE71" s="4">
        <v>44869</v>
      </c>
      <c r="AF71">
        <v>1.69</v>
      </c>
      <c r="AG71">
        <v>0.71000000000000019</v>
      </c>
      <c r="AH71">
        <v>-0.72</v>
      </c>
      <c r="AJ71">
        <v>6.999999999999984E-2</v>
      </c>
      <c r="AL71" s="4">
        <v>44869</v>
      </c>
      <c r="AM71">
        <v>-0.49000000000000021</v>
      </c>
      <c r="AN71">
        <v>0</v>
      </c>
    </row>
    <row r="72" spans="4:40" x14ac:dyDescent="0.3">
      <c r="D72" s="4">
        <v>45968</v>
      </c>
      <c r="E72">
        <v>0</v>
      </c>
      <c r="F72">
        <v>0.5</v>
      </c>
      <c r="G72">
        <v>2.5</v>
      </c>
      <c r="I72">
        <v>0</v>
      </c>
      <c r="K72" s="4">
        <v>45968</v>
      </c>
      <c r="L72">
        <v>2</v>
      </c>
      <c r="N72">
        <v>1</v>
      </c>
      <c r="O72">
        <v>0</v>
      </c>
      <c r="Q72" s="4">
        <v>44876</v>
      </c>
      <c r="R72">
        <v>3.82</v>
      </c>
      <c r="S72">
        <v>3.24</v>
      </c>
      <c r="T72">
        <v>1.78</v>
      </c>
      <c r="V72">
        <v>-0.18000000000000019</v>
      </c>
      <c r="X72" s="4">
        <v>44876</v>
      </c>
      <c r="Y72">
        <v>2.39</v>
      </c>
      <c r="Z72">
        <v>2.73</v>
      </c>
      <c r="AA72">
        <v>2.3940000000000001</v>
      </c>
      <c r="AC72">
        <v>-2.0000000000000021E-2</v>
      </c>
      <c r="AE72" s="4">
        <v>44876</v>
      </c>
      <c r="AF72">
        <v>1.43</v>
      </c>
      <c r="AG72">
        <v>0.72799999999999998</v>
      </c>
      <c r="AH72">
        <v>-0.70799999999999996</v>
      </c>
      <c r="AJ72">
        <v>-0.16000000000000009</v>
      </c>
      <c r="AL72" s="4">
        <v>44876</v>
      </c>
      <c r="AM72">
        <v>-0.52</v>
      </c>
      <c r="AN72">
        <v>0</v>
      </c>
    </row>
    <row r="73" spans="4:40" x14ac:dyDescent="0.3">
      <c r="D73" s="4">
        <v>45975</v>
      </c>
      <c r="E73">
        <v>0</v>
      </c>
      <c r="F73">
        <v>0.5</v>
      </c>
      <c r="G73">
        <v>2.5</v>
      </c>
      <c r="I73">
        <v>0</v>
      </c>
      <c r="K73" s="4">
        <v>45975</v>
      </c>
      <c r="L73">
        <v>1</v>
      </c>
      <c r="N73">
        <v>1</v>
      </c>
      <c r="O73">
        <v>1</v>
      </c>
      <c r="Q73" s="4">
        <v>44883</v>
      </c>
      <c r="R73">
        <v>3.82</v>
      </c>
      <c r="S73">
        <v>3.3140000000000009</v>
      </c>
      <c r="T73">
        <v>1.8080000000000001</v>
      </c>
      <c r="V73">
        <v>-0.39000000000000012</v>
      </c>
      <c r="X73" s="4">
        <v>44883</v>
      </c>
      <c r="Y73">
        <v>2.25</v>
      </c>
      <c r="Z73">
        <v>2.73</v>
      </c>
      <c r="AA73">
        <v>2.3820000000000001</v>
      </c>
      <c r="AC73">
        <v>-0.27</v>
      </c>
      <c r="AE73" s="4">
        <v>44883</v>
      </c>
      <c r="AF73">
        <v>1.57</v>
      </c>
      <c r="AG73">
        <v>0.87400000000000078</v>
      </c>
      <c r="AH73">
        <v>-0.66</v>
      </c>
      <c r="AJ73">
        <v>-0.1199999999999999</v>
      </c>
      <c r="AL73" s="4">
        <v>44883</v>
      </c>
      <c r="AM73">
        <v>-0.69</v>
      </c>
      <c r="AN73">
        <v>0</v>
      </c>
    </row>
    <row r="74" spans="4:40" x14ac:dyDescent="0.3">
      <c r="D74" s="4">
        <v>45982</v>
      </c>
      <c r="E74">
        <v>2</v>
      </c>
      <c r="F74">
        <v>0.5</v>
      </c>
      <c r="G74">
        <v>2.5</v>
      </c>
      <c r="I74">
        <v>1</v>
      </c>
      <c r="K74" s="4">
        <v>45982</v>
      </c>
      <c r="L74">
        <v>2</v>
      </c>
      <c r="N74">
        <v>1</v>
      </c>
      <c r="O74">
        <v>0</v>
      </c>
      <c r="Q74" s="4">
        <v>44890</v>
      </c>
      <c r="R74">
        <v>3.68</v>
      </c>
      <c r="S74">
        <v>3.426000000000001</v>
      </c>
      <c r="T74">
        <v>1.92</v>
      </c>
      <c r="V74">
        <v>-0.33999999999999941</v>
      </c>
      <c r="X74" s="4">
        <v>44890</v>
      </c>
      <c r="Y74">
        <v>2.3199999999999998</v>
      </c>
      <c r="Z74">
        <v>2.73</v>
      </c>
      <c r="AA74">
        <v>2.38</v>
      </c>
      <c r="AC74">
        <v>-0.18999999999999989</v>
      </c>
      <c r="AE74" s="4">
        <v>44890</v>
      </c>
      <c r="AF74">
        <v>1.36</v>
      </c>
      <c r="AG74">
        <v>1.0380000000000009</v>
      </c>
      <c r="AH74">
        <v>-0.64599999999999991</v>
      </c>
      <c r="AJ74">
        <v>-0.14999999999999991</v>
      </c>
      <c r="AL74" s="4">
        <v>44890</v>
      </c>
      <c r="AM74">
        <v>-0.73999999999999977</v>
      </c>
      <c r="AN74">
        <v>0</v>
      </c>
    </row>
    <row r="75" spans="4:40" x14ac:dyDescent="0.3">
      <c r="D75" s="4">
        <v>45989</v>
      </c>
      <c r="E75">
        <v>1</v>
      </c>
      <c r="F75">
        <v>0.5</v>
      </c>
      <c r="G75">
        <v>2.5</v>
      </c>
      <c r="I75">
        <v>1</v>
      </c>
      <c r="K75" s="4">
        <v>45989</v>
      </c>
      <c r="L75">
        <v>4</v>
      </c>
      <c r="N75">
        <v>0</v>
      </c>
      <c r="O75">
        <v>0</v>
      </c>
      <c r="Q75" s="4">
        <v>44897</v>
      </c>
      <c r="R75">
        <v>3.51</v>
      </c>
      <c r="S75">
        <v>3.4980000000000002</v>
      </c>
      <c r="T75">
        <v>1.9219999999999999</v>
      </c>
      <c r="V75">
        <v>-0.66000000000000014</v>
      </c>
      <c r="X75" s="4">
        <v>44897</v>
      </c>
      <c r="Y75">
        <v>2.4300000000000002</v>
      </c>
      <c r="Z75">
        <v>2.73</v>
      </c>
      <c r="AA75">
        <v>2.38</v>
      </c>
      <c r="AC75">
        <v>-4.9999999999999822E-2</v>
      </c>
      <c r="AE75" s="4">
        <v>44897</v>
      </c>
      <c r="AF75">
        <v>1.08</v>
      </c>
      <c r="AG75">
        <v>1.0780000000000001</v>
      </c>
      <c r="AH75">
        <v>-0.58599999999999997</v>
      </c>
      <c r="AJ75">
        <v>-0.60999999999999988</v>
      </c>
      <c r="AL75" s="4">
        <v>44897</v>
      </c>
      <c r="AM75">
        <v>-0.77000000000000046</v>
      </c>
      <c r="AN75">
        <v>0</v>
      </c>
    </row>
    <row r="76" spans="4:40" x14ac:dyDescent="0.3">
      <c r="D76" s="4">
        <v>45996</v>
      </c>
      <c r="E76">
        <v>0</v>
      </c>
      <c r="F76">
        <v>0.5</v>
      </c>
      <c r="G76">
        <v>2.5</v>
      </c>
      <c r="I76">
        <v>0</v>
      </c>
      <c r="K76" s="4">
        <v>45996</v>
      </c>
      <c r="L76">
        <v>2</v>
      </c>
      <c r="N76">
        <v>1</v>
      </c>
      <c r="O76">
        <v>0</v>
      </c>
      <c r="Q76" s="4">
        <v>44904</v>
      </c>
      <c r="R76">
        <v>3.57</v>
      </c>
      <c r="S76">
        <v>3.5579999999999998</v>
      </c>
      <c r="T76">
        <v>1.9379999999999999</v>
      </c>
      <c r="V76">
        <v>-0.25</v>
      </c>
      <c r="X76" s="4">
        <v>44904</v>
      </c>
      <c r="Y76">
        <v>2.2599999999999998</v>
      </c>
      <c r="Z76">
        <v>2.73</v>
      </c>
      <c r="AA76">
        <v>2.3719999999999999</v>
      </c>
      <c r="AC76">
        <v>-0.13000000000000031</v>
      </c>
      <c r="AE76" s="4">
        <v>44904</v>
      </c>
      <c r="AF76">
        <v>1.31</v>
      </c>
      <c r="AG76">
        <v>1.2640000000000009</v>
      </c>
      <c r="AH76">
        <v>-0.55799999999999994</v>
      </c>
      <c r="AJ76">
        <v>-0.1199999999999999</v>
      </c>
      <c r="AL76" s="4">
        <v>44904</v>
      </c>
      <c r="AM76">
        <v>-0.76000000000000023</v>
      </c>
      <c r="AN76">
        <v>0</v>
      </c>
    </row>
    <row r="77" spans="4:40" x14ac:dyDescent="0.3">
      <c r="D77" s="4">
        <v>46003</v>
      </c>
      <c r="E77">
        <v>1</v>
      </c>
      <c r="F77">
        <v>0.5</v>
      </c>
      <c r="G77">
        <v>2.5</v>
      </c>
      <c r="I77">
        <v>1</v>
      </c>
      <c r="K77" s="4">
        <v>46003</v>
      </c>
      <c r="L77">
        <v>2</v>
      </c>
      <c r="N77">
        <v>1</v>
      </c>
      <c r="O77">
        <v>0</v>
      </c>
      <c r="Q77" s="4">
        <v>44911</v>
      </c>
      <c r="R77">
        <v>3.48</v>
      </c>
      <c r="S77">
        <v>3.5579999999999998</v>
      </c>
      <c r="T77">
        <v>1.976</v>
      </c>
      <c r="V77">
        <v>-0.33999999999999991</v>
      </c>
      <c r="X77" s="4">
        <v>44911</v>
      </c>
      <c r="Y77">
        <v>2.13</v>
      </c>
      <c r="Z77">
        <v>2.73</v>
      </c>
      <c r="AA77">
        <v>2.37</v>
      </c>
      <c r="AC77">
        <v>-0.12000000000000011</v>
      </c>
      <c r="AE77" s="4">
        <v>44911</v>
      </c>
      <c r="AF77">
        <v>1.35</v>
      </c>
      <c r="AG77">
        <v>1.3180000000000001</v>
      </c>
      <c r="AH77">
        <v>-0.50600000000000001</v>
      </c>
      <c r="AJ77">
        <v>-0.22</v>
      </c>
      <c r="AL77" s="4">
        <v>44911</v>
      </c>
      <c r="AM77">
        <v>-0.69</v>
      </c>
      <c r="AN77">
        <v>0</v>
      </c>
    </row>
    <row r="78" spans="4:40" x14ac:dyDescent="0.3">
      <c r="D78" s="4">
        <v>46010</v>
      </c>
      <c r="E78">
        <v>0</v>
      </c>
      <c r="F78">
        <v>0.5</v>
      </c>
      <c r="G78">
        <v>2.5</v>
      </c>
      <c r="I78">
        <v>0</v>
      </c>
      <c r="K78" s="4">
        <v>46010</v>
      </c>
      <c r="L78">
        <v>2</v>
      </c>
      <c r="N78">
        <v>1</v>
      </c>
      <c r="O78">
        <v>0</v>
      </c>
      <c r="Q78" s="4">
        <v>44918</v>
      </c>
      <c r="R78">
        <v>3.75</v>
      </c>
      <c r="S78">
        <v>3.6579999999999999</v>
      </c>
      <c r="T78">
        <v>2.028</v>
      </c>
      <c r="V78">
        <v>6.999999999999984E-2</v>
      </c>
      <c r="X78" s="4">
        <v>44918</v>
      </c>
      <c r="Y78">
        <v>2.2000000000000002</v>
      </c>
      <c r="Z78">
        <v>2.73</v>
      </c>
      <c r="AA78">
        <v>2.3620000000000001</v>
      </c>
      <c r="AC78">
        <v>-0.1199999999999997</v>
      </c>
      <c r="AE78" s="4">
        <v>44918</v>
      </c>
      <c r="AF78">
        <v>1.55</v>
      </c>
      <c r="AG78">
        <v>1.3440000000000001</v>
      </c>
      <c r="AH78">
        <v>-0.48799999999999999</v>
      </c>
      <c r="AJ78">
        <v>0.18999999999999989</v>
      </c>
      <c r="AL78" s="4">
        <v>44918</v>
      </c>
      <c r="AM78">
        <v>-0.55999999999999961</v>
      </c>
      <c r="AN78">
        <v>0</v>
      </c>
    </row>
    <row r="79" spans="4:40" x14ac:dyDescent="0.3">
      <c r="D79" s="4">
        <v>46017</v>
      </c>
      <c r="E79">
        <v>0</v>
      </c>
      <c r="F79">
        <v>0.5</v>
      </c>
      <c r="G79">
        <v>2.5</v>
      </c>
      <c r="I79">
        <v>0</v>
      </c>
      <c r="K79" s="4">
        <v>46017</v>
      </c>
      <c r="L79">
        <v>2</v>
      </c>
      <c r="N79">
        <v>1</v>
      </c>
      <c r="O79">
        <v>0</v>
      </c>
      <c r="Q79" s="4">
        <v>44925</v>
      </c>
      <c r="R79">
        <v>3.88</v>
      </c>
      <c r="S79">
        <v>3.6880000000000002</v>
      </c>
      <c r="T79">
        <v>2.19</v>
      </c>
      <c r="V79">
        <v>0.37000000000000011</v>
      </c>
      <c r="X79" s="4">
        <v>44925</v>
      </c>
      <c r="Y79">
        <v>2.2999999999999998</v>
      </c>
      <c r="Z79">
        <v>2.73</v>
      </c>
      <c r="AA79">
        <v>2.3439999999999999</v>
      </c>
      <c r="AC79">
        <v>-0.13000000000000031</v>
      </c>
      <c r="AE79" s="4">
        <v>44925</v>
      </c>
      <c r="AF79">
        <v>1.58</v>
      </c>
      <c r="AG79">
        <v>1.3580000000000001</v>
      </c>
      <c r="AH79">
        <v>-0.47799999999999998</v>
      </c>
      <c r="AJ79">
        <v>0.5</v>
      </c>
      <c r="AL79" s="4">
        <v>44925</v>
      </c>
      <c r="AM79">
        <v>-0.53000000000000025</v>
      </c>
      <c r="AN79">
        <v>0</v>
      </c>
    </row>
    <row r="80" spans="4:40" x14ac:dyDescent="0.3">
      <c r="D80" s="4">
        <v>46024</v>
      </c>
      <c r="E80">
        <v>0</v>
      </c>
      <c r="F80">
        <v>0.5</v>
      </c>
      <c r="G80">
        <v>2.5</v>
      </c>
      <c r="I80">
        <v>0</v>
      </c>
      <c r="K80" s="4">
        <v>46024</v>
      </c>
      <c r="L80">
        <v>2</v>
      </c>
      <c r="N80">
        <v>1</v>
      </c>
      <c r="O80">
        <v>0</v>
      </c>
      <c r="Q80" s="4">
        <v>44932</v>
      </c>
      <c r="R80">
        <v>3.55</v>
      </c>
      <c r="S80">
        <v>3.6880000000000002</v>
      </c>
      <c r="T80">
        <v>2.4079999999999999</v>
      </c>
      <c r="V80">
        <v>-2.0000000000000021E-2</v>
      </c>
      <c r="X80" s="4">
        <v>44932</v>
      </c>
      <c r="Y80">
        <v>2.21</v>
      </c>
      <c r="Z80">
        <v>2.73</v>
      </c>
      <c r="AA80">
        <v>2.34</v>
      </c>
      <c r="AC80">
        <v>-4.9999999999999822E-2</v>
      </c>
      <c r="AE80" s="4">
        <v>44932</v>
      </c>
      <c r="AF80">
        <v>1.34</v>
      </c>
      <c r="AG80">
        <v>1.3580000000000001</v>
      </c>
      <c r="AH80">
        <v>-0.45799999999999991</v>
      </c>
      <c r="AJ80">
        <v>3.000000000000003E-2</v>
      </c>
      <c r="AL80" s="4">
        <v>44932</v>
      </c>
      <c r="AM80">
        <v>-0.69000000000000039</v>
      </c>
      <c r="AN80">
        <v>0</v>
      </c>
    </row>
    <row r="81" spans="4:40" x14ac:dyDescent="0.3">
      <c r="D81" s="4">
        <v>46031</v>
      </c>
      <c r="E81">
        <v>0</v>
      </c>
      <c r="F81">
        <v>0.5</v>
      </c>
      <c r="G81">
        <v>2.5</v>
      </c>
      <c r="I81">
        <v>0</v>
      </c>
      <c r="K81" s="4">
        <v>46031</v>
      </c>
      <c r="L81">
        <v>3</v>
      </c>
      <c r="N81">
        <v>0</v>
      </c>
      <c r="O81">
        <v>1</v>
      </c>
      <c r="Q81" s="4">
        <v>44939</v>
      </c>
      <c r="R81">
        <v>3.49</v>
      </c>
      <c r="S81">
        <v>3.6880000000000002</v>
      </c>
      <c r="T81">
        <v>2.5179999999999998</v>
      </c>
      <c r="V81">
        <v>1.0000000000000229E-2</v>
      </c>
      <c r="X81" s="4">
        <v>44939</v>
      </c>
      <c r="Y81">
        <v>2.1800000000000002</v>
      </c>
      <c r="Z81">
        <v>2.73</v>
      </c>
      <c r="AA81">
        <v>2.34</v>
      </c>
      <c r="AC81">
        <v>5.0000000000000273E-2</v>
      </c>
      <c r="AE81" s="4">
        <v>44939</v>
      </c>
      <c r="AF81">
        <v>1.31</v>
      </c>
      <c r="AG81">
        <v>1.3580000000000001</v>
      </c>
      <c r="AH81">
        <v>-0.35799999999999971</v>
      </c>
      <c r="AJ81">
        <v>-4.0000000000000042E-2</v>
      </c>
      <c r="AL81" s="4">
        <v>44939</v>
      </c>
      <c r="AM81">
        <v>-0.72999999999999954</v>
      </c>
      <c r="AN81">
        <v>0</v>
      </c>
    </row>
    <row r="82" spans="4:40" x14ac:dyDescent="0.3">
      <c r="D82" s="4">
        <v>46038</v>
      </c>
      <c r="E82">
        <v>0</v>
      </c>
      <c r="F82">
        <v>0.5</v>
      </c>
      <c r="G82">
        <v>2.5</v>
      </c>
      <c r="I82">
        <v>0</v>
      </c>
      <c r="K82" s="4">
        <v>46038</v>
      </c>
      <c r="L82">
        <v>1</v>
      </c>
      <c r="N82">
        <v>1</v>
      </c>
      <c r="O82">
        <v>1</v>
      </c>
      <c r="Q82" s="4">
        <v>44946</v>
      </c>
      <c r="R82">
        <v>3.48</v>
      </c>
      <c r="S82">
        <v>3.6880000000000002</v>
      </c>
      <c r="T82">
        <v>2.68</v>
      </c>
      <c r="V82">
        <v>-0.27</v>
      </c>
      <c r="X82" s="4">
        <v>44946</v>
      </c>
      <c r="Y82">
        <v>2.23</v>
      </c>
      <c r="Z82">
        <v>2.73</v>
      </c>
      <c r="AA82">
        <v>2.3239999999999998</v>
      </c>
      <c r="AC82">
        <v>2.9999999999999801E-2</v>
      </c>
      <c r="AE82" s="4">
        <v>44946</v>
      </c>
      <c r="AF82">
        <v>1.25</v>
      </c>
      <c r="AG82">
        <v>1.3580000000000001</v>
      </c>
      <c r="AH82">
        <v>-0.1359999999999999</v>
      </c>
      <c r="AJ82">
        <v>-0.3</v>
      </c>
      <c r="AL82" s="4">
        <v>44946</v>
      </c>
      <c r="AM82">
        <v>-0.6599999999999997</v>
      </c>
      <c r="AN82">
        <v>0</v>
      </c>
    </row>
    <row r="83" spans="4:40" x14ac:dyDescent="0.3">
      <c r="D83" s="4">
        <v>46045</v>
      </c>
      <c r="E83">
        <v>0</v>
      </c>
      <c r="F83">
        <v>0.5</v>
      </c>
      <c r="G83">
        <v>2.5</v>
      </c>
      <c r="I83">
        <v>0</v>
      </c>
      <c r="K83" s="4">
        <v>46045</v>
      </c>
      <c r="L83">
        <v>1</v>
      </c>
      <c r="N83">
        <v>1</v>
      </c>
      <c r="O83">
        <v>1</v>
      </c>
      <c r="Q83" s="4">
        <v>44953</v>
      </c>
      <c r="R83">
        <v>3.52</v>
      </c>
      <c r="S83">
        <v>3.6880000000000002</v>
      </c>
      <c r="T83">
        <v>2.7240000000000002</v>
      </c>
      <c r="V83">
        <v>-0.35999999999999988</v>
      </c>
      <c r="X83" s="4">
        <v>44953</v>
      </c>
      <c r="Y83">
        <v>2.33</v>
      </c>
      <c r="Z83">
        <v>2.73</v>
      </c>
      <c r="AA83">
        <v>2.3220000000000001</v>
      </c>
      <c r="AC83">
        <v>3.0000000000000249E-2</v>
      </c>
      <c r="AE83" s="4">
        <v>44953</v>
      </c>
      <c r="AF83">
        <v>1.19</v>
      </c>
      <c r="AG83">
        <v>1.3580000000000001</v>
      </c>
      <c r="AH83">
        <v>-7.5999999999999984E-2</v>
      </c>
      <c r="AJ83">
        <v>-0.39000000000000012</v>
      </c>
      <c r="AL83" s="4">
        <v>44953</v>
      </c>
      <c r="AM83">
        <v>-0.67000000000000037</v>
      </c>
      <c r="AN83">
        <v>0</v>
      </c>
    </row>
    <row r="84" spans="4:40" x14ac:dyDescent="0.3">
      <c r="D84" s="4">
        <v>46052</v>
      </c>
      <c r="E84">
        <v>0</v>
      </c>
      <c r="F84">
        <v>0.5</v>
      </c>
      <c r="G84">
        <v>2.5</v>
      </c>
      <c r="I84">
        <v>0</v>
      </c>
      <c r="K84" s="4">
        <v>46052</v>
      </c>
      <c r="L84">
        <v>1</v>
      </c>
      <c r="N84">
        <v>1</v>
      </c>
      <c r="O84">
        <v>1</v>
      </c>
      <c r="Q84" s="4">
        <v>44960</v>
      </c>
      <c r="R84">
        <v>3.53</v>
      </c>
      <c r="S84">
        <v>3.6880000000000002</v>
      </c>
      <c r="T84">
        <v>2.746</v>
      </c>
      <c r="V84">
        <v>-2.0000000000000021E-2</v>
      </c>
      <c r="X84" s="4">
        <v>44960</v>
      </c>
      <c r="Y84">
        <v>2.2200000000000002</v>
      </c>
      <c r="Z84">
        <v>2.73</v>
      </c>
      <c r="AA84">
        <v>2.3039999999999998</v>
      </c>
      <c r="AC84">
        <v>1.0000000000000229E-2</v>
      </c>
      <c r="AE84" s="4">
        <v>44960</v>
      </c>
      <c r="AF84">
        <v>1.31</v>
      </c>
      <c r="AG84">
        <v>1.3580000000000001</v>
      </c>
      <c r="AH84">
        <v>-4.5999999999999923E-2</v>
      </c>
      <c r="AJ84">
        <v>-3.000000000000003E-2</v>
      </c>
      <c r="AL84" s="4">
        <v>44960</v>
      </c>
      <c r="AM84">
        <v>-0.77</v>
      </c>
      <c r="AN84">
        <v>0</v>
      </c>
    </row>
    <row r="85" spans="4:40" x14ac:dyDescent="0.3">
      <c r="D85" s="4">
        <v>46059</v>
      </c>
      <c r="E85">
        <v>1</v>
      </c>
      <c r="F85">
        <v>0.5</v>
      </c>
      <c r="G85">
        <v>2.5</v>
      </c>
      <c r="I85">
        <v>1</v>
      </c>
      <c r="K85" s="4">
        <v>46059</v>
      </c>
      <c r="L85">
        <v>1</v>
      </c>
      <c r="N85">
        <v>1</v>
      </c>
      <c r="O85">
        <v>1</v>
      </c>
      <c r="Q85" s="4">
        <v>44967</v>
      </c>
      <c r="R85">
        <v>3.74</v>
      </c>
      <c r="S85">
        <v>3.73</v>
      </c>
      <c r="T85">
        <v>2.7719999999999998</v>
      </c>
      <c r="V85">
        <v>0.25</v>
      </c>
      <c r="X85" s="4">
        <v>44967</v>
      </c>
      <c r="Y85">
        <v>2.33</v>
      </c>
      <c r="Z85">
        <v>2.73</v>
      </c>
      <c r="AA85">
        <v>2.3039999999999998</v>
      </c>
      <c r="AC85">
        <v>0.14999999999999991</v>
      </c>
      <c r="AE85" s="4">
        <v>44967</v>
      </c>
      <c r="AF85">
        <v>1.41</v>
      </c>
      <c r="AG85">
        <v>1.4</v>
      </c>
      <c r="AH85">
        <v>3.000000000000011E-2</v>
      </c>
      <c r="AJ85">
        <v>9.9999999999999867E-2</v>
      </c>
      <c r="AL85" s="4">
        <v>44967</v>
      </c>
      <c r="AM85">
        <v>-0.75999999999999979</v>
      </c>
      <c r="AN85">
        <v>0</v>
      </c>
    </row>
    <row r="86" spans="4:40" x14ac:dyDescent="0.3">
      <c r="D86" s="4">
        <v>46066</v>
      </c>
      <c r="E86">
        <v>1</v>
      </c>
      <c r="F86">
        <v>0.5</v>
      </c>
      <c r="G86">
        <v>2.5</v>
      </c>
      <c r="I86">
        <v>1</v>
      </c>
      <c r="K86" s="4">
        <v>46066</v>
      </c>
      <c r="L86">
        <v>4</v>
      </c>
      <c r="N86">
        <v>0</v>
      </c>
      <c r="O86">
        <v>0</v>
      </c>
      <c r="Q86" s="4">
        <v>44974</v>
      </c>
      <c r="R86">
        <v>3.82</v>
      </c>
      <c r="S86">
        <v>3.7480000000000002</v>
      </c>
      <c r="T86">
        <v>2.79</v>
      </c>
      <c r="V86">
        <v>0.33999999999999991</v>
      </c>
      <c r="X86" s="4">
        <v>44974</v>
      </c>
      <c r="Y86">
        <v>2.36</v>
      </c>
      <c r="Z86">
        <v>2.73</v>
      </c>
      <c r="AA86">
        <v>2.3039999999999998</v>
      </c>
      <c r="AC86">
        <v>0.12999999999999989</v>
      </c>
      <c r="AE86" s="4">
        <v>44974</v>
      </c>
      <c r="AF86">
        <v>1.46</v>
      </c>
      <c r="AG86">
        <v>1.4259999999999999</v>
      </c>
      <c r="AH86">
        <v>0.11600000000000001</v>
      </c>
      <c r="AJ86">
        <v>0.21</v>
      </c>
      <c r="AL86" s="4">
        <v>44974</v>
      </c>
      <c r="AM86">
        <v>-0.7799999999999998</v>
      </c>
      <c r="AN86">
        <v>0</v>
      </c>
    </row>
    <row r="87" spans="4:40" x14ac:dyDescent="0.3">
      <c r="D87" s="4">
        <v>46073</v>
      </c>
      <c r="E87">
        <v>1</v>
      </c>
      <c r="F87">
        <v>0.5</v>
      </c>
      <c r="G87">
        <v>2.5</v>
      </c>
      <c r="I87">
        <v>1</v>
      </c>
      <c r="K87" s="4">
        <v>46073</v>
      </c>
      <c r="L87">
        <v>4</v>
      </c>
      <c r="N87">
        <v>0</v>
      </c>
      <c r="O87">
        <v>0</v>
      </c>
      <c r="Q87" s="4">
        <v>44981</v>
      </c>
      <c r="R87">
        <v>3.95</v>
      </c>
      <c r="S87">
        <v>3.806</v>
      </c>
      <c r="T87">
        <v>2.83</v>
      </c>
      <c r="V87">
        <v>0.43000000000000022</v>
      </c>
      <c r="X87" s="4">
        <v>44981</v>
      </c>
      <c r="Y87">
        <v>2.38</v>
      </c>
      <c r="Z87">
        <v>2.73</v>
      </c>
      <c r="AA87">
        <v>2.3039999999999998</v>
      </c>
      <c r="AC87">
        <v>4.9999999999999822E-2</v>
      </c>
      <c r="AE87" s="4">
        <v>44981</v>
      </c>
      <c r="AF87">
        <v>1.57</v>
      </c>
      <c r="AG87">
        <v>1.454</v>
      </c>
      <c r="AH87">
        <v>0.15600000000000011</v>
      </c>
      <c r="AJ87">
        <v>0.38000000000000012</v>
      </c>
      <c r="AL87" s="4">
        <v>44981</v>
      </c>
      <c r="AM87">
        <v>-0.83000000000000007</v>
      </c>
      <c r="AN87">
        <v>0</v>
      </c>
    </row>
    <row r="88" spans="4:40" x14ac:dyDescent="0.3">
      <c r="D88" s="4">
        <v>46080</v>
      </c>
      <c r="E88">
        <v>1</v>
      </c>
      <c r="F88">
        <v>0.5</v>
      </c>
      <c r="G88">
        <v>2.5</v>
      </c>
      <c r="I88">
        <v>1</v>
      </c>
      <c r="K88" s="4">
        <v>46080</v>
      </c>
      <c r="L88">
        <v>4</v>
      </c>
      <c r="N88">
        <v>0</v>
      </c>
      <c r="O88">
        <v>0</v>
      </c>
      <c r="Q88" s="4">
        <v>44988</v>
      </c>
      <c r="R88">
        <v>3.97</v>
      </c>
      <c r="S88">
        <v>3.82</v>
      </c>
      <c r="T88">
        <v>2.8319999999999999</v>
      </c>
      <c r="V88">
        <v>0.44000000000000039</v>
      </c>
      <c r="X88" s="4">
        <v>44988</v>
      </c>
      <c r="Y88">
        <v>2.52</v>
      </c>
      <c r="Z88">
        <v>2.73</v>
      </c>
      <c r="AA88">
        <v>2.3039999999999998</v>
      </c>
      <c r="AC88">
        <v>0.29999999999999982</v>
      </c>
      <c r="AE88" s="4">
        <v>44988</v>
      </c>
      <c r="AF88">
        <v>1.45</v>
      </c>
      <c r="AG88">
        <v>1.458</v>
      </c>
      <c r="AH88">
        <v>0.222</v>
      </c>
      <c r="AJ88">
        <v>0.1399999999999999</v>
      </c>
      <c r="AL88" s="4">
        <v>44988</v>
      </c>
      <c r="AM88">
        <v>-0.89000000000000012</v>
      </c>
      <c r="AN88">
        <v>0</v>
      </c>
    </row>
    <row r="89" spans="4:40" x14ac:dyDescent="0.3">
      <c r="D89" s="4">
        <v>46087</v>
      </c>
      <c r="E89">
        <v>2</v>
      </c>
      <c r="F89">
        <v>0.5</v>
      </c>
      <c r="G89">
        <v>2.5</v>
      </c>
      <c r="I89">
        <v>1</v>
      </c>
      <c r="K89" s="4">
        <v>46087</v>
      </c>
      <c r="L89">
        <v>3</v>
      </c>
      <c r="N89">
        <v>0</v>
      </c>
      <c r="O89">
        <v>1</v>
      </c>
      <c r="Q89" s="4">
        <v>44995</v>
      </c>
      <c r="R89">
        <v>3.7</v>
      </c>
      <c r="S89">
        <v>3.82</v>
      </c>
      <c r="T89">
        <v>2.8479999999999999</v>
      </c>
      <c r="V89">
        <v>-4.0000000000000042E-2</v>
      </c>
      <c r="X89" s="4">
        <v>44995</v>
      </c>
      <c r="Y89">
        <v>2.2599999999999998</v>
      </c>
      <c r="Z89">
        <v>2.6779999999999999</v>
      </c>
      <c r="AA89">
        <v>2.2759999999999998</v>
      </c>
      <c r="AC89">
        <v>-7.0000000000000284E-2</v>
      </c>
      <c r="AE89" s="4">
        <v>44995</v>
      </c>
      <c r="AF89">
        <v>1.44</v>
      </c>
      <c r="AG89">
        <v>1.458</v>
      </c>
      <c r="AH89">
        <v>0.23200000000000001</v>
      </c>
      <c r="AJ89">
        <v>3.000000000000003E-2</v>
      </c>
      <c r="AL89" s="4">
        <v>44995</v>
      </c>
      <c r="AM89">
        <v>-0.89999999999999947</v>
      </c>
      <c r="AN89">
        <v>0</v>
      </c>
    </row>
    <row r="90" spans="4:40" x14ac:dyDescent="0.3">
      <c r="D90" s="4">
        <v>46094</v>
      </c>
      <c r="E90">
        <v>2</v>
      </c>
      <c r="F90">
        <v>0.5</v>
      </c>
      <c r="G90">
        <v>2.5</v>
      </c>
      <c r="I90">
        <v>1</v>
      </c>
      <c r="K90" s="4">
        <v>46094</v>
      </c>
      <c r="L90">
        <v>1</v>
      </c>
      <c r="N90">
        <v>1</v>
      </c>
      <c r="O90">
        <v>1</v>
      </c>
      <c r="Q90" s="4">
        <v>45002</v>
      </c>
      <c r="R90">
        <v>3.39</v>
      </c>
      <c r="S90">
        <v>3.82</v>
      </c>
      <c r="T90">
        <v>2.8820000000000001</v>
      </c>
      <c r="V90">
        <v>-0.42999999999999972</v>
      </c>
      <c r="X90" s="4">
        <v>45002</v>
      </c>
      <c r="Y90">
        <v>2.1</v>
      </c>
      <c r="Z90">
        <v>2.62</v>
      </c>
      <c r="AA90">
        <v>2.262</v>
      </c>
      <c r="AC90">
        <v>-0.25999999999999979</v>
      </c>
      <c r="AE90" s="4">
        <v>45002</v>
      </c>
      <c r="AF90">
        <v>1.29</v>
      </c>
      <c r="AG90">
        <v>1.458</v>
      </c>
      <c r="AH90">
        <v>0.24399999999999999</v>
      </c>
      <c r="AJ90">
        <v>-0.1699999999999999</v>
      </c>
      <c r="AL90" s="4">
        <v>45002</v>
      </c>
      <c r="AM90">
        <v>-0.41999999999999987</v>
      </c>
      <c r="AN90">
        <v>0</v>
      </c>
    </row>
    <row r="91" spans="4:40" x14ac:dyDescent="0.3">
      <c r="D91" s="4">
        <v>46101</v>
      </c>
      <c r="E91">
        <v>3</v>
      </c>
      <c r="F91">
        <v>0.5</v>
      </c>
      <c r="G91">
        <v>2.5</v>
      </c>
      <c r="I91">
        <v>2</v>
      </c>
      <c r="K91" s="4">
        <v>46101</v>
      </c>
      <c r="L91">
        <v>1</v>
      </c>
      <c r="N91">
        <v>1</v>
      </c>
      <c r="O91">
        <v>1</v>
      </c>
      <c r="Q91" s="4">
        <v>45009</v>
      </c>
      <c r="R91">
        <v>3.38</v>
      </c>
      <c r="S91">
        <v>3.82</v>
      </c>
      <c r="T91">
        <v>2.8919999999999999</v>
      </c>
      <c r="V91">
        <v>-0.57000000000000028</v>
      </c>
      <c r="X91" s="4">
        <v>45009</v>
      </c>
      <c r="Y91">
        <v>2.2200000000000002</v>
      </c>
      <c r="Z91">
        <v>2.5779999999999998</v>
      </c>
      <c r="AA91">
        <v>2.2599999999999998</v>
      </c>
      <c r="AC91">
        <v>-0.1599999999999997</v>
      </c>
      <c r="AE91" s="4">
        <v>45009</v>
      </c>
      <c r="AF91">
        <v>1.1599999999999999</v>
      </c>
      <c r="AG91">
        <v>1.458</v>
      </c>
      <c r="AH91">
        <v>0.28200000000000008</v>
      </c>
      <c r="AJ91">
        <v>-0.41000000000000009</v>
      </c>
      <c r="AL91" s="4">
        <v>45009</v>
      </c>
      <c r="AM91">
        <v>-0.37999999999999989</v>
      </c>
      <c r="AN91">
        <v>0</v>
      </c>
    </row>
    <row r="92" spans="4:40" x14ac:dyDescent="0.3">
      <c r="D92" s="4">
        <v>46108</v>
      </c>
      <c r="E92">
        <v>3</v>
      </c>
      <c r="F92">
        <v>0.5</v>
      </c>
      <c r="G92">
        <v>2.5</v>
      </c>
      <c r="I92">
        <v>2</v>
      </c>
      <c r="K92" s="4">
        <v>46108</v>
      </c>
      <c r="L92">
        <v>1</v>
      </c>
      <c r="N92">
        <v>1</v>
      </c>
      <c r="O92">
        <v>1</v>
      </c>
      <c r="Q92" s="4">
        <v>45016</v>
      </c>
      <c r="R92">
        <v>3.48</v>
      </c>
      <c r="S92">
        <v>3.82</v>
      </c>
      <c r="T92">
        <v>2.9060000000000001</v>
      </c>
      <c r="V92">
        <v>-0.49000000000000021</v>
      </c>
      <c r="X92" s="4">
        <v>45016</v>
      </c>
      <c r="Y92">
        <v>2.3199999999999998</v>
      </c>
      <c r="Z92">
        <v>2.5680000000000001</v>
      </c>
      <c r="AA92">
        <v>2.2599999999999998</v>
      </c>
      <c r="AC92">
        <v>-0.20000000000000021</v>
      </c>
      <c r="AE92" s="4">
        <v>45016</v>
      </c>
      <c r="AF92">
        <v>1.1599999999999999</v>
      </c>
      <c r="AG92">
        <v>1.458</v>
      </c>
      <c r="AH92">
        <v>0.37</v>
      </c>
      <c r="AJ92">
        <v>-0.28999999999999998</v>
      </c>
      <c r="AL92" s="4">
        <v>45016</v>
      </c>
      <c r="AM92">
        <v>-0.57999999999999963</v>
      </c>
      <c r="AN92">
        <v>0</v>
      </c>
    </row>
    <row r="93" spans="4:40" x14ac:dyDescent="0.3">
      <c r="D93" s="4">
        <v>46115</v>
      </c>
      <c r="E93">
        <v>2</v>
      </c>
      <c r="F93">
        <v>0.5</v>
      </c>
      <c r="G93">
        <v>2.5</v>
      </c>
      <c r="I93">
        <v>1</v>
      </c>
      <c r="K93" s="4">
        <v>46115</v>
      </c>
      <c r="L93">
        <v>1</v>
      </c>
      <c r="N93">
        <v>1</v>
      </c>
      <c r="O93">
        <v>1</v>
      </c>
      <c r="Q93" s="4">
        <v>45023</v>
      </c>
      <c r="R93">
        <v>3.39</v>
      </c>
      <c r="S93">
        <v>3.82</v>
      </c>
      <c r="T93">
        <v>2.93</v>
      </c>
      <c r="V93">
        <v>-0.31000000000000011</v>
      </c>
      <c r="X93" s="4">
        <v>45023</v>
      </c>
      <c r="Y93">
        <v>2.25</v>
      </c>
      <c r="Z93">
        <v>2.5579999999999998</v>
      </c>
      <c r="AA93">
        <v>2.2519999999999998</v>
      </c>
      <c r="AC93">
        <v>-9.9999999999997868E-3</v>
      </c>
      <c r="AE93" s="4">
        <v>45023</v>
      </c>
      <c r="AF93">
        <v>1.1399999999999999</v>
      </c>
      <c r="AG93">
        <v>1.458</v>
      </c>
      <c r="AH93">
        <v>0.374</v>
      </c>
      <c r="AJ93">
        <v>-0.3</v>
      </c>
      <c r="AL93" s="4">
        <v>45023</v>
      </c>
      <c r="AM93">
        <v>-0.58000000000000007</v>
      </c>
      <c r="AN93">
        <v>0</v>
      </c>
    </row>
    <row r="94" spans="4:40" x14ac:dyDescent="0.3">
      <c r="D94" s="4">
        <v>46122</v>
      </c>
      <c r="E94">
        <v>1</v>
      </c>
      <c r="F94">
        <v>0.5</v>
      </c>
      <c r="G94">
        <v>2.5</v>
      </c>
      <c r="I94">
        <v>1</v>
      </c>
      <c r="K94" s="4">
        <v>46122</v>
      </c>
      <c r="L94">
        <v>2</v>
      </c>
      <c r="N94">
        <v>1</v>
      </c>
      <c r="O94">
        <v>0</v>
      </c>
      <c r="Q94" s="4">
        <v>45030</v>
      </c>
      <c r="R94">
        <v>3.52</v>
      </c>
      <c r="S94">
        <v>3.82</v>
      </c>
      <c r="T94">
        <v>2.9359999999999999</v>
      </c>
      <c r="V94">
        <v>0.12999999999999989</v>
      </c>
      <c r="X94" s="4">
        <v>45030</v>
      </c>
      <c r="Y94">
        <v>2.2999999999999998</v>
      </c>
      <c r="Z94">
        <v>2.5499999999999998</v>
      </c>
      <c r="AA94">
        <v>2.2519999999999998</v>
      </c>
      <c r="AC94">
        <v>0.19999999999999971</v>
      </c>
      <c r="AE94" s="4">
        <v>45030</v>
      </c>
      <c r="AF94">
        <v>1.22</v>
      </c>
      <c r="AG94">
        <v>1.458</v>
      </c>
      <c r="AH94">
        <v>0.39800000000000008</v>
      </c>
      <c r="AJ94">
        <v>-7.0000000000000062E-2</v>
      </c>
      <c r="AL94" s="4">
        <v>45030</v>
      </c>
      <c r="AM94">
        <v>-0.56000000000000005</v>
      </c>
      <c r="AN94">
        <v>0</v>
      </c>
    </row>
    <row r="95" spans="4:40" x14ac:dyDescent="0.3">
      <c r="D95" s="4">
        <v>46129</v>
      </c>
      <c r="E95">
        <v>0</v>
      </c>
      <c r="F95">
        <v>0.5</v>
      </c>
      <c r="G95">
        <v>2.5</v>
      </c>
      <c r="I95">
        <v>0</v>
      </c>
      <c r="K95" s="4">
        <v>46129</v>
      </c>
      <c r="L95">
        <v>4</v>
      </c>
      <c r="N95">
        <v>0</v>
      </c>
      <c r="O95">
        <v>0</v>
      </c>
      <c r="Q95" s="4">
        <v>45037</v>
      </c>
      <c r="R95">
        <v>3.57</v>
      </c>
      <c r="S95">
        <v>3.82</v>
      </c>
      <c r="T95">
        <v>2.964</v>
      </c>
      <c r="V95">
        <v>0.18999999999999989</v>
      </c>
      <c r="X95" s="4">
        <v>45037</v>
      </c>
      <c r="Y95">
        <v>2.2799999999999998</v>
      </c>
      <c r="Z95">
        <v>2.5459999999999998</v>
      </c>
      <c r="AA95">
        <v>2.2519999999999998</v>
      </c>
      <c r="AC95">
        <v>5.9999999999999609E-2</v>
      </c>
      <c r="AE95" s="4">
        <v>45037</v>
      </c>
      <c r="AF95">
        <v>1.29</v>
      </c>
      <c r="AG95">
        <v>1.458</v>
      </c>
      <c r="AH95">
        <v>0.43</v>
      </c>
      <c r="AJ95">
        <v>0.13000000000000009</v>
      </c>
      <c r="AL95" s="4">
        <v>45037</v>
      </c>
      <c r="AM95">
        <v>-0.60000000000000009</v>
      </c>
      <c r="AN95">
        <v>0</v>
      </c>
    </row>
    <row r="96" spans="4:40" x14ac:dyDescent="0.3">
      <c r="D96" s="4">
        <v>46136</v>
      </c>
      <c r="E96">
        <v>0</v>
      </c>
      <c r="F96">
        <v>0.5</v>
      </c>
      <c r="G96">
        <v>2.5</v>
      </c>
      <c r="I96">
        <v>0</v>
      </c>
      <c r="K96" s="4">
        <v>46136</v>
      </c>
      <c r="L96">
        <v>3</v>
      </c>
      <c r="N96">
        <v>0</v>
      </c>
      <c r="O96">
        <v>1</v>
      </c>
      <c r="Q96" s="4">
        <v>45044</v>
      </c>
      <c r="R96">
        <v>3.44</v>
      </c>
      <c r="S96">
        <v>3.82</v>
      </c>
      <c r="T96">
        <v>2.992</v>
      </c>
      <c r="V96">
        <v>-4.0000000000000042E-2</v>
      </c>
      <c r="X96" s="4">
        <v>45044</v>
      </c>
      <c r="Y96">
        <v>2.1800000000000002</v>
      </c>
      <c r="Z96">
        <v>2.528</v>
      </c>
      <c r="AA96">
        <v>2.25</v>
      </c>
      <c r="AC96">
        <v>-0.13999999999999971</v>
      </c>
      <c r="AE96" s="4">
        <v>45044</v>
      </c>
      <c r="AF96">
        <v>1.26</v>
      </c>
      <c r="AG96">
        <v>1.458</v>
      </c>
      <c r="AH96">
        <v>0.43800000000000011</v>
      </c>
      <c r="AJ96">
        <v>0.1000000000000001</v>
      </c>
      <c r="AL96" s="4">
        <v>45044</v>
      </c>
      <c r="AM96">
        <v>-0.60000000000000009</v>
      </c>
      <c r="AN96">
        <v>0</v>
      </c>
    </row>
    <row r="97" spans="4:40" x14ac:dyDescent="0.3">
      <c r="D97" s="4">
        <v>46143</v>
      </c>
      <c r="E97">
        <v>0</v>
      </c>
      <c r="F97">
        <v>0.5</v>
      </c>
      <c r="G97">
        <v>2.5</v>
      </c>
      <c r="I97">
        <v>0</v>
      </c>
      <c r="K97" s="4">
        <v>46143</v>
      </c>
      <c r="L97">
        <v>1</v>
      </c>
      <c r="N97">
        <v>1</v>
      </c>
      <c r="O97">
        <v>1</v>
      </c>
      <c r="Q97" s="4">
        <v>45051</v>
      </c>
      <c r="R97">
        <v>3.44</v>
      </c>
      <c r="S97">
        <v>3.82</v>
      </c>
      <c r="T97">
        <v>2.992</v>
      </c>
      <c r="V97">
        <v>4.9999999999999822E-2</v>
      </c>
      <c r="X97" s="4">
        <v>45051</v>
      </c>
      <c r="Y97">
        <v>2.21</v>
      </c>
      <c r="Z97">
        <v>2.52</v>
      </c>
      <c r="AA97">
        <v>2.234</v>
      </c>
      <c r="AC97">
        <v>-4.0000000000000042E-2</v>
      </c>
      <c r="AE97" s="4">
        <v>45051</v>
      </c>
      <c r="AF97">
        <v>1.23</v>
      </c>
      <c r="AG97">
        <v>1.458</v>
      </c>
      <c r="AH97">
        <v>0.48399999999999999</v>
      </c>
      <c r="AJ97">
        <v>9.000000000000008E-2</v>
      </c>
      <c r="AL97" s="4">
        <v>45051</v>
      </c>
      <c r="AM97">
        <v>-0.48</v>
      </c>
      <c r="AN97">
        <v>0</v>
      </c>
    </row>
    <row r="98" spans="4:40" x14ac:dyDescent="0.3">
      <c r="D98" s="4">
        <v>46150</v>
      </c>
      <c r="E98">
        <v>0</v>
      </c>
      <c r="F98">
        <v>0.5</v>
      </c>
      <c r="G98">
        <v>2.5</v>
      </c>
      <c r="I98">
        <v>0</v>
      </c>
      <c r="K98" s="4">
        <v>46150</v>
      </c>
      <c r="L98">
        <v>1</v>
      </c>
      <c r="N98">
        <v>1</v>
      </c>
      <c r="O98">
        <v>1</v>
      </c>
      <c r="Q98" s="4">
        <v>45058</v>
      </c>
      <c r="R98">
        <v>3.46</v>
      </c>
      <c r="S98">
        <v>3.82</v>
      </c>
      <c r="T98">
        <v>3.05</v>
      </c>
      <c r="V98">
        <v>-6.0000000000000053E-2</v>
      </c>
      <c r="X98" s="4">
        <v>45058</v>
      </c>
      <c r="Y98">
        <v>2.1800000000000002</v>
      </c>
      <c r="Z98">
        <v>2.5179999999999998</v>
      </c>
      <c r="AA98">
        <v>2.222</v>
      </c>
      <c r="AC98">
        <v>-0.1199999999999997</v>
      </c>
      <c r="AE98" s="4">
        <v>45058</v>
      </c>
      <c r="AF98">
        <v>1.28</v>
      </c>
      <c r="AG98">
        <v>1.458</v>
      </c>
      <c r="AH98">
        <v>0.54600000000000004</v>
      </c>
      <c r="AJ98">
        <v>6.0000000000000053E-2</v>
      </c>
      <c r="AL98" s="4">
        <v>45058</v>
      </c>
      <c r="AM98">
        <v>-0.52</v>
      </c>
      <c r="AN98">
        <v>0</v>
      </c>
    </row>
    <row r="99" spans="4:40" x14ac:dyDescent="0.3">
      <c r="D99" s="4">
        <v>46157</v>
      </c>
      <c r="E99">
        <v>0</v>
      </c>
      <c r="F99">
        <v>0.5</v>
      </c>
      <c r="G99">
        <v>2.5</v>
      </c>
      <c r="I99">
        <v>0</v>
      </c>
      <c r="K99" s="4">
        <v>46157</v>
      </c>
      <c r="L99">
        <v>1</v>
      </c>
      <c r="N99">
        <v>1</v>
      </c>
      <c r="O99">
        <v>1</v>
      </c>
      <c r="Q99" s="4">
        <v>45065</v>
      </c>
      <c r="R99">
        <v>3.7</v>
      </c>
      <c r="S99">
        <v>3.82</v>
      </c>
      <c r="T99">
        <v>3.0979999999999999</v>
      </c>
      <c r="V99">
        <v>0.13000000000000031</v>
      </c>
      <c r="X99" s="4">
        <v>45065</v>
      </c>
      <c r="Y99">
        <v>2.2400000000000002</v>
      </c>
      <c r="Z99">
        <v>2.504</v>
      </c>
      <c r="AA99">
        <v>2.222</v>
      </c>
      <c r="AC99">
        <v>-3.9999999999999591E-2</v>
      </c>
      <c r="AE99" s="4">
        <v>45065</v>
      </c>
      <c r="AF99">
        <v>1.46</v>
      </c>
      <c r="AG99">
        <v>1.46</v>
      </c>
      <c r="AH99">
        <v>0.56999999999999995</v>
      </c>
      <c r="AJ99">
        <v>0.1699999999999999</v>
      </c>
      <c r="AL99" s="4">
        <v>45065</v>
      </c>
      <c r="AM99">
        <v>-0.58000000000000007</v>
      </c>
      <c r="AN99">
        <v>0</v>
      </c>
    </row>
    <row r="100" spans="4:40" x14ac:dyDescent="0.3">
      <c r="D100" s="4">
        <v>46164</v>
      </c>
      <c r="E100">
        <v>0</v>
      </c>
      <c r="F100">
        <v>0.5</v>
      </c>
      <c r="G100">
        <v>2.5</v>
      </c>
      <c r="I100">
        <v>0</v>
      </c>
      <c r="K100" s="4">
        <v>46164</v>
      </c>
      <c r="L100">
        <v>1</v>
      </c>
      <c r="N100">
        <v>1</v>
      </c>
      <c r="O100">
        <v>1</v>
      </c>
      <c r="Q100" s="4">
        <v>45072</v>
      </c>
      <c r="R100">
        <v>3.8</v>
      </c>
      <c r="S100">
        <v>3.82</v>
      </c>
      <c r="T100">
        <v>3.1339999999999999</v>
      </c>
      <c r="V100">
        <v>0.35999999999999988</v>
      </c>
      <c r="X100" s="4">
        <v>45072</v>
      </c>
      <c r="Y100">
        <v>2.23</v>
      </c>
      <c r="Z100">
        <v>2.4780000000000002</v>
      </c>
      <c r="AA100">
        <v>2.222</v>
      </c>
      <c r="AC100">
        <v>4.9999999999999822E-2</v>
      </c>
      <c r="AE100" s="4">
        <v>45072</v>
      </c>
      <c r="AF100">
        <v>1.57</v>
      </c>
      <c r="AG100">
        <v>1.5</v>
      </c>
      <c r="AH100">
        <v>0.59000000000000008</v>
      </c>
      <c r="AJ100">
        <v>0.31000000000000011</v>
      </c>
      <c r="AL100" s="4">
        <v>45072</v>
      </c>
      <c r="AM100">
        <v>-0.74000000000000021</v>
      </c>
      <c r="AN100">
        <v>0</v>
      </c>
    </row>
    <row r="101" spans="4:40" x14ac:dyDescent="0.3">
      <c r="D101" s="4">
        <v>46171</v>
      </c>
      <c r="E101">
        <v>0</v>
      </c>
      <c r="F101">
        <v>0.5</v>
      </c>
      <c r="G101">
        <v>2.5</v>
      </c>
      <c r="I101">
        <v>0</v>
      </c>
      <c r="K101" s="4">
        <v>46171</v>
      </c>
      <c r="L101">
        <v>2</v>
      </c>
      <c r="N101">
        <v>1</v>
      </c>
      <c r="O101">
        <v>0</v>
      </c>
      <c r="Q101" s="4">
        <v>45079</v>
      </c>
      <c r="R101">
        <v>3.69</v>
      </c>
      <c r="S101">
        <v>3.82</v>
      </c>
      <c r="T101">
        <v>3.16</v>
      </c>
      <c r="V101">
        <v>0.25</v>
      </c>
      <c r="X101" s="4">
        <v>45079</v>
      </c>
      <c r="Y101">
        <v>2.1800000000000002</v>
      </c>
      <c r="Z101">
        <v>2.4700000000000002</v>
      </c>
      <c r="AA101">
        <v>2.2200000000000002</v>
      </c>
      <c r="AC101">
        <v>-2.9999999999999801E-2</v>
      </c>
      <c r="AE101" s="4">
        <v>45079</v>
      </c>
      <c r="AF101">
        <v>1.51</v>
      </c>
      <c r="AG101">
        <v>1.51</v>
      </c>
      <c r="AH101">
        <v>0.68</v>
      </c>
      <c r="AJ101">
        <v>0.28000000000000003</v>
      </c>
      <c r="AL101" s="4">
        <v>45079</v>
      </c>
      <c r="AM101">
        <v>-0.81</v>
      </c>
      <c r="AN101">
        <v>0</v>
      </c>
    </row>
    <row r="102" spans="4:40" x14ac:dyDescent="0.3">
      <c r="D102" s="4">
        <v>46178</v>
      </c>
      <c r="E102">
        <v>1</v>
      </c>
      <c r="F102">
        <v>0.5</v>
      </c>
      <c r="G102">
        <v>2.5</v>
      </c>
      <c r="I102">
        <v>1</v>
      </c>
      <c r="K102" s="4">
        <v>46178</v>
      </c>
      <c r="L102">
        <v>2</v>
      </c>
      <c r="N102">
        <v>1</v>
      </c>
      <c r="O102">
        <v>0</v>
      </c>
      <c r="Q102" s="4">
        <v>45086</v>
      </c>
      <c r="R102">
        <v>3.75</v>
      </c>
      <c r="S102">
        <v>3.82</v>
      </c>
      <c r="T102">
        <v>3.21</v>
      </c>
      <c r="V102">
        <v>0.28999999999999998</v>
      </c>
      <c r="X102" s="4">
        <v>45086</v>
      </c>
      <c r="Y102">
        <v>2.2000000000000002</v>
      </c>
      <c r="Z102">
        <v>2.468</v>
      </c>
      <c r="AA102">
        <v>2.2120000000000002</v>
      </c>
      <c r="AC102">
        <v>2.0000000000000021E-2</v>
      </c>
      <c r="AE102" s="4">
        <v>45086</v>
      </c>
      <c r="AF102">
        <v>1.55</v>
      </c>
      <c r="AG102">
        <v>1.542</v>
      </c>
      <c r="AH102">
        <v>0.72199999999999998</v>
      </c>
      <c r="AJ102">
        <v>0.27</v>
      </c>
      <c r="AL102" s="4">
        <v>45086</v>
      </c>
      <c r="AM102">
        <v>-0.83999999999999986</v>
      </c>
      <c r="AN102">
        <v>0</v>
      </c>
    </row>
    <row r="103" spans="4:40" x14ac:dyDescent="0.3">
      <c r="D103" s="4">
        <v>46185</v>
      </c>
      <c r="E103">
        <v>0</v>
      </c>
      <c r="F103">
        <v>0.5</v>
      </c>
      <c r="G103">
        <v>2.5</v>
      </c>
      <c r="I103">
        <v>0</v>
      </c>
      <c r="K103" s="4">
        <v>46185</v>
      </c>
      <c r="L103">
        <v>2</v>
      </c>
      <c r="N103">
        <v>1</v>
      </c>
      <c r="O103">
        <v>0</v>
      </c>
      <c r="Q103" s="4">
        <v>45093</v>
      </c>
      <c r="R103">
        <v>3.77</v>
      </c>
      <c r="S103">
        <v>3.82</v>
      </c>
      <c r="T103">
        <v>3.226</v>
      </c>
      <c r="V103">
        <v>6.999999999999984E-2</v>
      </c>
      <c r="X103" s="4">
        <v>45093</v>
      </c>
      <c r="Y103">
        <v>2.2200000000000002</v>
      </c>
      <c r="Z103">
        <v>2.4540000000000002</v>
      </c>
      <c r="AA103">
        <v>2.2120000000000002</v>
      </c>
      <c r="AC103">
        <v>-2.0000000000000021E-2</v>
      </c>
      <c r="AE103" s="4">
        <v>45093</v>
      </c>
      <c r="AF103">
        <v>1.55</v>
      </c>
      <c r="AG103">
        <v>1.55</v>
      </c>
      <c r="AH103">
        <v>0.76600000000000024</v>
      </c>
      <c r="AJ103">
        <v>9.000000000000008E-2</v>
      </c>
      <c r="AL103" s="4">
        <v>45093</v>
      </c>
      <c r="AM103">
        <v>-0.93000000000000016</v>
      </c>
      <c r="AN103">
        <v>0</v>
      </c>
    </row>
    <row r="104" spans="4:40" x14ac:dyDescent="0.3">
      <c r="D104" s="4">
        <v>46192</v>
      </c>
      <c r="E104">
        <v>0</v>
      </c>
      <c r="F104">
        <v>0.5</v>
      </c>
      <c r="G104">
        <v>2.5</v>
      </c>
      <c r="I104">
        <v>0</v>
      </c>
      <c r="K104" s="4">
        <v>46192</v>
      </c>
      <c r="L104">
        <v>2</v>
      </c>
      <c r="N104">
        <v>1</v>
      </c>
      <c r="O104">
        <v>0</v>
      </c>
      <c r="Q104" s="4">
        <v>45100</v>
      </c>
      <c r="R104">
        <v>3.74</v>
      </c>
      <c r="S104">
        <v>3.82</v>
      </c>
      <c r="T104">
        <v>3.34</v>
      </c>
      <c r="V104">
        <v>-5.9999999999999609E-2</v>
      </c>
      <c r="X104" s="4">
        <v>45100</v>
      </c>
      <c r="Y104">
        <v>2.21</v>
      </c>
      <c r="Z104">
        <v>2.4279999999999999</v>
      </c>
      <c r="AA104">
        <v>2.21</v>
      </c>
      <c r="AC104">
        <v>-2.0000000000000021E-2</v>
      </c>
      <c r="AE104" s="4">
        <v>45100</v>
      </c>
      <c r="AF104">
        <v>1.53</v>
      </c>
      <c r="AG104">
        <v>1.55</v>
      </c>
      <c r="AH104">
        <v>0.94200000000000017</v>
      </c>
      <c r="AJ104">
        <v>-4.0000000000000042E-2</v>
      </c>
      <c r="AL104" s="4">
        <v>45100</v>
      </c>
      <c r="AM104">
        <v>-0.96999999999999975</v>
      </c>
      <c r="AN104">
        <v>0</v>
      </c>
    </row>
    <row r="105" spans="4:40" x14ac:dyDescent="0.3">
      <c r="D105" s="4">
        <v>46199</v>
      </c>
      <c r="E105">
        <v>1</v>
      </c>
      <c r="F105">
        <v>0.5</v>
      </c>
      <c r="G105">
        <v>2.5</v>
      </c>
      <c r="H105">
        <v>1</v>
      </c>
      <c r="I105">
        <v>1</v>
      </c>
      <c r="K105" s="4">
        <v>46199</v>
      </c>
      <c r="L105">
        <v>2</v>
      </c>
      <c r="M105">
        <v>2</v>
      </c>
      <c r="N105">
        <v>1</v>
      </c>
      <c r="O105">
        <v>0</v>
      </c>
      <c r="Q105" s="4">
        <v>45107</v>
      </c>
      <c r="R105">
        <v>3.81</v>
      </c>
      <c r="S105">
        <v>3.82</v>
      </c>
      <c r="T105">
        <v>3.3820000000000001</v>
      </c>
      <c r="V105">
        <v>0.12000000000000011</v>
      </c>
      <c r="X105" s="4">
        <v>45107</v>
      </c>
      <c r="Y105">
        <v>2.2200000000000002</v>
      </c>
      <c r="Z105">
        <v>2.4279999999999999</v>
      </c>
      <c r="AA105">
        <v>2.21</v>
      </c>
      <c r="AC105">
        <v>4.0000000000000042E-2</v>
      </c>
      <c r="AE105" s="4">
        <v>45107</v>
      </c>
      <c r="AF105">
        <v>1.59</v>
      </c>
      <c r="AG105">
        <v>1.55</v>
      </c>
      <c r="AH105">
        <v>1.0720000000000001</v>
      </c>
      <c r="AJ105">
        <v>8.0000000000000071E-2</v>
      </c>
      <c r="AL105" s="4">
        <v>45107</v>
      </c>
      <c r="AM105">
        <v>-1.06</v>
      </c>
      <c r="AN105">
        <v>0</v>
      </c>
    </row>
    <row r="106" spans="4:40" x14ac:dyDescent="0.3">
      <c r="Q106" s="4">
        <v>45114</v>
      </c>
      <c r="R106">
        <v>4.0599999999999996</v>
      </c>
      <c r="S106">
        <v>3.82</v>
      </c>
      <c r="T106">
        <v>3.39</v>
      </c>
      <c r="V106">
        <v>0.30999999999999961</v>
      </c>
      <c r="X106" s="4">
        <v>45114</v>
      </c>
      <c r="Y106">
        <v>2.27</v>
      </c>
      <c r="Z106">
        <v>2.4279999999999999</v>
      </c>
      <c r="AA106">
        <v>2.21</v>
      </c>
      <c r="AC106">
        <v>6.999999999999984E-2</v>
      </c>
      <c r="AE106" s="4">
        <v>45114</v>
      </c>
      <c r="AF106">
        <v>1.79</v>
      </c>
      <c r="AG106">
        <v>1.5660000000000001</v>
      </c>
      <c r="AH106">
        <v>1.0920000000000001</v>
      </c>
      <c r="AJ106">
        <v>0.24</v>
      </c>
      <c r="AL106" s="4">
        <v>45114</v>
      </c>
      <c r="AM106">
        <v>-0.88000000000000078</v>
      </c>
      <c r="AN106">
        <v>0</v>
      </c>
    </row>
    <row r="107" spans="4:40" x14ac:dyDescent="0.3">
      <c r="Q107" s="4">
        <v>45121</v>
      </c>
      <c r="R107">
        <v>3.83</v>
      </c>
      <c r="S107">
        <v>3.8279999999999998</v>
      </c>
      <c r="T107">
        <v>3.4</v>
      </c>
      <c r="V107">
        <v>6.0000000000000053E-2</v>
      </c>
      <c r="X107" s="4">
        <v>45121</v>
      </c>
      <c r="Y107">
        <v>2.2400000000000002</v>
      </c>
      <c r="Z107">
        <v>2.4279999999999999</v>
      </c>
      <c r="AA107">
        <v>2.21</v>
      </c>
      <c r="AC107">
        <v>2.0000000000000021E-2</v>
      </c>
      <c r="AE107" s="4">
        <v>45121</v>
      </c>
      <c r="AF107">
        <v>1.59</v>
      </c>
      <c r="AG107">
        <v>1.57</v>
      </c>
      <c r="AH107">
        <v>1.1439999999999999</v>
      </c>
      <c r="AJ107">
        <v>4.0000000000000042E-2</v>
      </c>
      <c r="AL107" s="4">
        <v>45121</v>
      </c>
      <c r="AM107">
        <v>-0.91000000000000014</v>
      </c>
      <c r="AN107">
        <v>0</v>
      </c>
    </row>
    <row r="108" spans="4:40" x14ac:dyDescent="0.3">
      <c r="Q108" s="4">
        <v>45128</v>
      </c>
      <c r="R108">
        <v>3.84</v>
      </c>
      <c r="S108">
        <v>3.83</v>
      </c>
      <c r="T108">
        <v>3.44</v>
      </c>
      <c r="V108">
        <v>9.9999999999999645E-2</v>
      </c>
      <c r="X108" s="4">
        <v>45128</v>
      </c>
      <c r="Y108">
        <v>2.35</v>
      </c>
      <c r="Z108">
        <v>2.4279999999999999</v>
      </c>
      <c r="AA108">
        <v>2.21</v>
      </c>
      <c r="AC108">
        <v>0.1400000000000001</v>
      </c>
      <c r="AE108" s="4">
        <v>45128</v>
      </c>
      <c r="AF108">
        <v>1.49</v>
      </c>
      <c r="AG108">
        <v>1.57</v>
      </c>
      <c r="AH108">
        <v>1.1599999999999999</v>
      </c>
      <c r="AJ108">
        <v>-4.0000000000000042E-2</v>
      </c>
      <c r="AL108" s="4">
        <v>45128</v>
      </c>
      <c r="AM108">
        <v>-0.98000000000000043</v>
      </c>
      <c r="AN108">
        <v>0</v>
      </c>
    </row>
    <row r="109" spans="4:40" x14ac:dyDescent="0.3">
      <c r="Q109" s="4">
        <v>45135</v>
      </c>
      <c r="R109">
        <v>3.96</v>
      </c>
      <c r="S109">
        <v>3.8380000000000001</v>
      </c>
      <c r="T109">
        <v>3.4420000000000002</v>
      </c>
      <c r="V109">
        <v>0.14999999999999991</v>
      </c>
      <c r="X109" s="4">
        <v>45135</v>
      </c>
      <c r="Y109">
        <v>2.38</v>
      </c>
      <c r="Z109">
        <v>2.4180000000000001</v>
      </c>
      <c r="AA109">
        <v>2.21</v>
      </c>
      <c r="AC109">
        <v>0.1599999999999997</v>
      </c>
      <c r="AE109" s="4">
        <v>45135</v>
      </c>
      <c r="AF109">
        <v>1.58</v>
      </c>
      <c r="AG109">
        <v>1.57</v>
      </c>
      <c r="AH109">
        <v>1.1659999999999999</v>
      </c>
      <c r="AJ109">
        <v>-1.0000000000000011E-2</v>
      </c>
      <c r="AL109" s="4">
        <v>45135</v>
      </c>
      <c r="AM109">
        <v>-0.91000000000000014</v>
      </c>
      <c r="AN109">
        <v>0</v>
      </c>
    </row>
    <row r="110" spans="4:40" x14ac:dyDescent="0.3">
      <c r="Q110" s="4">
        <v>45142</v>
      </c>
      <c r="R110">
        <v>4.05</v>
      </c>
      <c r="S110">
        <v>3.8719999999999999</v>
      </c>
      <c r="T110">
        <v>3.452</v>
      </c>
      <c r="V110">
        <v>-9.9999999999997868E-3</v>
      </c>
      <c r="X110" s="4">
        <v>45142</v>
      </c>
      <c r="Y110">
        <v>2.38</v>
      </c>
      <c r="Z110">
        <v>2.4060000000000001</v>
      </c>
      <c r="AA110">
        <v>2.21</v>
      </c>
      <c r="AC110">
        <v>0.1099999999999999</v>
      </c>
      <c r="AE110" s="4">
        <v>45142</v>
      </c>
      <c r="AF110">
        <v>1.67</v>
      </c>
      <c r="AG110">
        <v>1.5780000000000001</v>
      </c>
      <c r="AH110">
        <v>1.196</v>
      </c>
      <c r="AJ110">
        <v>-0.12000000000000011</v>
      </c>
      <c r="AL110" s="4">
        <v>45142</v>
      </c>
      <c r="AM110">
        <v>-0.73000000000000043</v>
      </c>
      <c r="AN110">
        <v>0</v>
      </c>
    </row>
    <row r="111" spans="4:40" x14ac:dyDescent="0.3">
      <c r="Q111" s="4">
        <v>45149</v>
      </c>
      <c r="R111">
        <v>4.16</v>
      </c>
      <c r="S111">
        <v>3.8879999999999999</v>
      </c>
      <c r="T111">
        <v>3.464</v>
      </c>
      <c r="V111">
        <v>0.33000000000000013</v>
      </c>
      <c r="X111" s="4">
        <v>45149</v>
      </c>
      <c r="Y111">
        <v>2.36</v>
      </c>
      <c r="Z111">
        <v>2.3879999999999999</v>
      </c>
      <c r="AA111">
        <v>2.21</v>
      </c>
      <c r="AC111">
        <v>0.1199999999999997</v>
      </c>
      <c r="AE111" s="4">
        <v>45149</v>
      </c>
      <c r="AF111">
        <v>1.8</v>
      </c>
      <c r="AG111">
        <v>1.58</v>
      </c>
      <c r="AH111">
        <v>1.222</v>
      </c>
      <c r="AJ111">
        <v>0.21</v>
      </c>
      <c r="AL111" s="4">
        <v>45149</v>
      </c>
      <c r="AM111">
        <v>-0.72999999999999954</v>
      </c>
      <c r="AN111">
        <v>0</v>
      </c>
    </row>
    <row r="112" spans="4:40" x14ac:dyDescent="0.3">
      <c r="Q112" s="4">
        <v>45156</v>
      </c>
      <c r="R112">
        <v>4.26</v>
      </c>
      <c r="S112">
        <v>3.9380000000000011</v>
      </c>
      <c r="T112">
        <v>3.48</v>
      </c>
      <c r="V112">
        <v>0.41999999999999987</v>
      </c>
      <c r="X112" s="4">
        <v>45156</v>
      </c>
      <c r="Y112">
        <v>2.3199999999999998</v>
      </c>
      <c r="Z112">
        <v>2.38</v>
      </c>
      <c r="AA112">
        <v>2.21</v>
      </c>
      <c r="AC112">
        <v>-3.0000000000000249E-2</v>
      </c>
      <c r="AE112" s="4">
        <v>45156</v>
      </c>
      <c r="AF112">
        <v>1.94</v>
      </c>
      <c r="AG112">
        <v>1.5880000000000001</v>
      </c>
      <c r="AH112">
        <v>1.234</v>
      </c>
      <c r="AJ112">
        <v>0.45</v>
      </c>
      <c r="AL112" s="4">
        <v>45156</v>
      </c>
      <c r="AM112">
        <v>-0.66000000000000014</v>
      </c>
      <c r="AN112">
        <v>0</v>
      </c>
    </row>
    <row r="113" spans="17:40" x14ac:dyDescent="0.3">
      <c r="Q113" s="4">
        <v>45163</v>
      </c>
      <c r="R113">
        <v>4.25</v>
      </c>
      <c r="S113">
        <v>3.9580000000000002</v>
      </c>
      <c r="T113">
        <v>3.48</v>
      </c>
      <c r="V113">
        <v>0.28999999999999998</v>
      </c>
      <c r="X113" s="4">
        <v>45163</v>
      </c>
      <c r="Y113">
        <v>2.33</v>
      </c>
      <c r="Z113">
        <v>2.38</v>
      </c>
      <c r="AA113">
        <v>2.21</v>
      </c>
      <c r="AC113">
        <v>-4.9999999999999822E-2</v>
      </c>
      <c r="AE113" s="4">
        <v>45163</v>
      </c>
      <c r="AF113">
        <v>1.92</v>
      </c>
      <c r="AG113">
        <v>1.59</v>
      </c>
      <c r="AH113">
        <v>1.252</v>
      </c>
      <c r="AJ113">
        <v>0.33999999999999991</v>
      </c>
      <c r="AL113" s="4">
        <v>45163</v>
      </c>
      <c r="AM113">
        <v>-0.78000000000000025</v>
      </c>
      <c r="AN113">
        <v>0</v>
      </c>
    </row>
    <row r="114" spans="17:40" x14ac:dyDescent="0.3">
      <c r="Q114" s="4">
        <v>45170</v>
      </c>
      <c r="R114">
        <v>4.18</v>
      </c>
      <c r="S114">
        <v>3.968</v>
      </c>
      <c r="T114">
        <v>3.4820000000000002</v>
      </c>
      <c r="V114">
        <v>0.12999999999999989</v>
      </c>
      <c r="X114" s="4">
        <v>45170</v>
      </c>
      <c r="Y114">
        <v>2.2599999999999998</v>
      </c>
      <c r="Z114">
        <v>2.38</v>
      </c>
      <c r="AA114">
        <v>2.21</v>
      </c>
      <c r="AC114">
        <v>-0.12000000000000011</v>
      </c>
      <c r="AE114" s="4">
        <v>45170</v>
      </c>
      <c r="AF114">
        <v>1.92</v>
      </c>
      <c r="AG114">
        <v>1.59</v>
      </c>
      <c r="AH114">
        <v>1.264</v>
      </c>
      <c r="AJ114">
        <v>0.25</v>
      </c>
      <c r="AL114" s="4">
        <v>45170</v>
      </c>
      <c r="AM114">
        <v>-0.69000000000000039</v>
      </c>
      <c r="AN114">
        <v>0</v>
      </c>
    </row>
    <row r="115" spans="17:40" x14ac:dyDescent="0.3">
      <c r="Q115" s="4">
        <v>45177</v>
      </c>
      <c r="R115">
        <v>4.26</v>
      </c>
      <c r="S115">
        <v>3.9940000000000002</v>
      </c>
      <c r="T115">
        <v>3.4940000000000002</v>
      </c>
      <c r="V115">
        <v>9.9999999999999645E-2</v>
      </c>
      <c r="X115" s="4">
        <v>45177</v>
      </c>
      <c r="Y115">
        <v>2.33</v>
      </c>
      <c r="Z115">
        <v>2.3780000000000001</v>
      </c>
      <c r="AA115">
        <v>2.21</v>
      </c>
      <c r="AC115">
        <v>-2.9999999999999801E-2</v>
      </c>
      <c r="AE115" s="4">
        <v>45177</v>
      </c>
      <c r="AF115">
        <v>1.93</v>
      </c>
      <c r="AG115">
        <v>1.6140000000000001</v>
      </c>
      <c r="AH115">
        <v>1.282</v>
      </c>
      <c r="AJ115">
        <v>0.12999999999999989</v>
      </c>
      <c r="AL115" s="4">
        <v>45177</v>
      </c>
      <c r="AM115">
        <v>-0.72000000000000064</v>
      </c>
      <c r="AN115">
        <v>0</v>
      </c>
    </row>
    <row r="116" spans="17:40" x14ac:dyDescent="0.3">
      <c r="Q116" s="4">
        <v>45184</v>
      </c>
      <c r="R116">
        <v>4.33</v>
      </c>
      <c r="S116">
        <v>4.016</v>
      </c>
      <c r="T116">
        <v>3.512</v>
      </c>
      <c r="V116">
        <v>7.0000000000000284E-2</v>
      </c>
      <c r="X116" s="4">
        <v>45184</v>
      </c>
      <c r="Y116">
        <v>2.35</v>
      </c>
      <c r="Z116">
        <v>2.3679999999999999</v>
      </c>
      <c r="AA116">
        <v>2.21</v>
      </c>
      <c r="AC116">
        <v>3.0000000000000249E-2</v>
      </c>
      <c r="AE116" s="4">
        <v>45184</v>
      </c>
      <c r="AF116">
        <v>1.98</v>
      </c>
      <c r="AG116">
        <v>1.66</v>
      </c>
      <c r="AH116">
        <v>1.29</v>
      </c>
      <c r="AJ116">
        <v>4.0000000000000042E-2</v>
      </c>
      <c r="AL116" s="4">
        <v>45184</v>
      </c>
      <c r="AM116">
        <v>-0.6899999999999995</v>
      </c>
      <c r="AN116">
        <v>0</v>
      </c>
    </row>
    <row r="117" spans="17:40" x14ac:dyDescent="0.3">
      <c r="Q117" s="4">
        <v>45191</v>
      </c>
      <c r="R117">
        <v>4.4400000000000004</v>
      </c>
      <c r="S117">
        <v>4.0439999999999996</v>
      </c>
      <c r="T117">
        <v>3.512</v>
      </c>
      <c r="V117">
        <v>0.19000000000000039</v>
      </c>
      <c r="X117" s="4">
        <v>45191</v>
      </c>
      <c r="Y117">
        <v>2.37</v>
      </c>
      <c r="Z117">
        <v>2.3679999999999999</v>
      </c>
      <c r="AA117">
        <v>2.21</v>
      </c>
      <c r="AC117">
        <v>4.0000000000000042E-2</v>
      </c>
      <c r="AE117" s="4">
        <v>45191</v>
      </c>
      <c r="AF117">
        <v>2.0699999999999998</v>
      </c>
      <c r="AG117">
        <v>1.6779999999999999</v>
      </c>
      <c r="AH117">
        <v>1.29</v>
      </c>
      <c r="AJ117">
        <v>0.14999999999999991</v>
      </c>
      <c r="AL117" s="4">
        <v>45191</v>
      </c>
      <c r="AM117">
        <v>-0.65999999999999925</v>
      </c>
      <c r="AN117">
        <v>0</v>
      </c>
    </row>
    <row r="118" spans="17:40" x14ac:dyDescent="0.3">
      <c r="Q118" s="4">
        <v>45198</v>
      </c>
      <c r="R118">
        <v>4.59</v>
      </c>
      <c r="S118">
        <v>4.0579999999999998</v>
      </c>
      <c r="T118">
        <v>3.512</v>
      </c>
      <c r="V118">
        <v>0.41000000000000009</v>
      </c>
      <c r="X118" s="4">
        <v>45198</v>
      </c>
      <c r="Y118">
        <v>2.35</v>
      </c>
      <c r="Z118">
        <v>2.3679999999999999</v>
      </c>
      <c r="AA118">
        <v>2.2120000000000002</v>
      </c>
      <c r="AC118">
        <v>9.0000000000000302E-2</v>
      </c>
      <c r="AE118" s="4">
        <v>45198</v>
      </c>
      <c r="AF118">
        <v>2.2400000000000002</v>
      </c>
      <c r="AG118">
        <v>1.6859999999999999</v>
      </c>
      <c r="AH118">
        <v>1.29</v>
      </c>
      <c r="AJ118">
        <v>0.32000000000000028</v>
      </c>
      <c r="AL118" s="4">
        <v>45198</v>
      </c>
      <c r="AM118">
        <v>-0.44000000000000039</v>
      </c>
      <c r="AN118">
        <v>0</v>
      </c>
    </row>
    <row r="119" spans="17:40" x14ac:dyDescent="0.3">
      <c r="Q119" s="4">
        <v>45205</v>
      </c>
      <c r="R119">
        <v>4.78</v>
      </c>
      <c r="S119">
        <v>4.1400000000000006</v>
      </c>
      <c r="T119">
        <v>3.512</v>
      </c>
      <c r="V119">
        <v>0.52000000000000046</v>
      </c>
      <c r="X119" s="4">
        <v>45205</v>
      </c>
      <c r="Y119">
        <v>2.31</v>
      </c>
      <c r="Z119">
        <v>2.3679999999999999</v>
      </c>
      <c r="AA119">
        <v>2.2120000000000002</v>
      </c>
      <c r="AC119">
        <v>-2.0000000000000021E-2</v>
      </c>
      <c r="AE119" s="4">
        <v>45205</v>
      </c>
      <c r="AF119">
        <v>2.4700000000000002</v>
      </c>
      <c r="AG119">
        <v>1.69</v>
      </c>
      <c r="AH119">
        <v>1.29</v>
      </c>
      <c r="AJ119">
        <v>0.54000000000000026</v>
      </c>
      <c r="AL119" s="4">
        <v>45205</v>
      </c>
      <c r="AM119">
        <v>-0.29999999999999982</v>
      </c>
      <c r="AN119">
        <v>0</v>
      </c>
    </row>
    <row r="120" spans="17:40" x14ac:dyDescent="0.3">
      <c r="Q120" s="4">
        <v>45212</v>
      </c>
      <c r="R120">
        <v>4.63</v>
      </c>
      <c r="S120">
        <v>4.1680000000000001</v>
      </c>
      <c r="T120">
        <v>3.512</v>
      </c>
      <c r="V120">
        <v>0.29999999999999982</v>
      </c>
      <c r="X120" s="4">
        <v>45212</v>
      </c>
      <c r="Y120">
        <v>2.34</v>
      </c>
      <c r="Z120">
        <v>2.36</v>
      </c>
      <c r="AA120">
        <v>2.2120000000000002</v>
      </c>
      <c r="AC120">
        <v>-1.0000000000000229E-2</v>
      </c>
      <c r="AE120" s="4">
        <v>45212</v>
      </c>
      <c r="AF120">
        <v>2.29</v>
      </c>
      <c r="AG120">
        <v>1.77</v>
      </c>
      <c r="AH120">
        <v>1.29</v>
      </c>
      <c r="AJ120">
        <v>0.31000000000000011</v>
      </c>
      <c r="AL120" s="4">
        <v>45212</v>
      </c>
      <c r="AM120">
        <v>-0.41000000000000009</v>
      </c>
      <c r="AN120">
        <v>0</v>
      </c>
    </row>
    <row r="121" spans="17:40" x14ac:dyDescent="0.3">
      <c r="Q121" s="4">
        <v>45219</v>
      </c>
      <c r="R121">
        <v>4.93</v>
      </c>
      <c r="S121">
        <v>4.1680000000000001</v>
      </c>
      <c r="T121">
        <v>3.512</v>
      </c>
      <c r="V121">
        <v>0.48999999999999932</v>
      </c>
      <c r="X121" s="4">
        <v>45219</v>
      </c>
      <c r="Y121">
        <v>2.4700000000000002</v>
      </c>
      <c r="Z121">
        <v>2.36</v>
      </c>
      <c r="AA121">
        <v>2.2120000000000002</v>
      </c>
      <c r="AC121">
        <v>0.1000000000000001</v>
      </c>
      <c r="AE121" s="4">
        <v>45219</v>
      </c>
      <c r="AF121">
        <v>2.46</v>
      </c>
      <c r="AG121">
        <v>1.798</v>
      </c>
      <c r="AH121">
        <v>1.29</v>
      </c>
      <c r="AJ121">
        <v>0.39000000000000012</v>
      </c>
      <c r="AL121" s="4">
        <v>45219</v>
      </c>
      <c r="AM121">
        <v>-0.1400000000000006</v>
      </c>
      <c r="AN121">
        <v>0</v>
      </c>
    </row>
    <row r="122" spans="17:40" x14ac:dyDescent="0.3">
      <c r="Q122" s="4">
        <v>45226</v>
      </c>
      <c r="R122">
        <v>4.84</v>
      </c>
      <c r="S122">
        <v>4.1779999999999999</v>
      </c>
      <c r="T122">
        <v>3.512</v>
      </c>
      <c r="V122">
        <v>0.25</v>
      </c>
      <c r="X122" s="4">
        <v>45226</v>
      </c>
      <c r="Y122">
        <v>2.42</v>
      </c>
      <c r="Z122">
        <v>2.36</v>
      </c>
      <c r="AA122">
        <v>2.2120000000000002</v>
      </c>
      <c r="AC122">
        <v>6.999999999999984E-2</v>
      </c>
      <c r="AE122" s="4">
        <v>45226</v>
      </c>
      <c r="AF122">
        <v>2.42</v>
      </c>
      <c r="AG122">
        <v>1.8959999999999999</v>
      </c>
      <c r="AH122">
        <v>1.29</v>
      </c>
      <c r="AJ122">
        <v>0.17999999999999969</v>
      </c>
      <c r="AL122" s="4">
        <v>45226</v>
      </c>
      <c r="AM122">
        <v>-0.15000000000000041</v>
      </c>
      <c r="AN122">
        <v>0</v>
      </c>
    </row>
    <row r="123" spans="17:40" x14ac:dyDescent="0.3">
      <c r="Q123" s="4">
        <v>45233</v>
      </c>
      <c r="R123">
        <v>4.57</v>
      </c>
      <c r="S123">
        <v>4.2360000000000007</v>
      </c>
      <c r="T123">
        <v>3.512</v>
      </c>
      <c r="V123">
        <v>-0.21</v>
      </c>
      <c r="X123" s="4">
        <v>45233</v>
      </c>
      <c r="Y123">
        <v>2.39</v>
      </c>
      <c r="Z123">
        <v>2.36</v>
      </c>
      <c r="AA123">
        <v>2.2120000000000002</v>
      </c>
      <c r="AC123">
        <v>8.0000000000000071E-2</v>
      </c>
      <c r="AE123" s="4">
        <v>45233</v>
      </c>
      <c r="AF123">
        <v>2.1800000000000002</v>
      </c>
      <c r="AG123">
        <v>1.92</v>
      </c>
      <c r="AH123">
        <v>1.29</v>
      </c>
      <c r="AJ123">
        <v>-0.28999999999999998</v>
      </c>
      <c r="AL123" s="4">
        <v>45233</v>
      </c>
      <c r="AM123">
        <v>-0.25999999999999979</v>
      </c>
      <c r="AN123">
        <v>0</v>
      </c>
    </row>
    <row r="124" spans="17:40" x14ac:dyDescent="0.3">
      <c r="Q124" s="4">
        <v>45240</v>
      </c>
      <c r="R124">
        <v>4.6100000000000003</v>
      </c>
      <c r="S124">
        <v>4.258</v>
      </c>
      <c r="T124">
        <v>3.512</v>
      </c>
      <c r="V124">
        <v>-1.999999999999957E-2</v>
      </c>
      <c r="X124" s="4">
        <v>45240</v>
      </c>
      <c r="Y124">
        <v>2.3199999999999998</v>
      </c>
      <c r="Z124">
        <v>2.3580000000000001</v>
      </c>
      <c r="AA124">
        <v>2.2120000000000002</v>
      </c>
      <c r="AC124">
        <v>-2.0000000000000021E-2</v>
      </c>
      <c r="AE124" s="4">
        <v>45240</v>
      </c>
      <c r="AF124">
        <v>2.29</v>
      </c>
      <c r="AG124">
        <v>1.9279999999999999</v>
      </c>
      <c r="AH124">
        <v>1.29</v>
      </c>
      <c r="AJ124">
        <v>0</v>
      </c>
      <c r="AL124" s="4">
        <v>45240</v>
      </c>
      <c r="AM124">
        <v>-0.42999999999999972</v>
      </c>
      <c r="AN124">
        <v>0</v>
      </c>
    </row>
    <row r="125" spans="17:40" x14ac:dyDescent="0.3">
      <c r="Q125" s="4">
        <v>45247</v>
      </c>
      <c r="R125">
        <v>4.4400000000000004</v>
      </c>
      <c r="S125">
        <v>4.26</v>
      </c>
      <c r="T125">
        <v>3.512</v>
      </c>
      <c r="V125">
        <v>-0.48999999999999932</v>
      </c>
      <c r="X125" s="4">
        <v>45247</v>
      </c>
      <c r="Y125">
        <v>2.2799999999999998</v>
      </c>
      <c r="Z125">
        <v>2.3580000000000001</v>
      </c>
      <c r="AA125">
        <v>2.2120000000000002</v>
      </c>
      <c r="AC125">
        <v>-0.19000000000000039</v>
      </c>
      <c r="AE125" s="4">
        <v>45247</v>
      </c>
      <c r="AF125">
        <v>2.16</v>
      </c>
      <c r="AG125">
        <v>1.9379999999999999</v>
      </c>
      <c r="AH125">
        <v>1.29</v>
      </c>
      <c r="AJ125">
        <v>-0.29999999999999982</v>
      </c>
      <c r="AL125" s="4">
        <v>45247</v>
      </c>
      <c r="AM125">
        <v>-0.4399999999999995</v>
      </c>
      <c r="AN125">
        <v>0</v>
      </c>
    </row>
    <row r="126" spans="17:40" x14ac:dyDescent="0.3">
      <c r="Q126" s="4">
        <v>45254</v>
      </c>
      <c r="R126">
        <v>4.47</v>
      </c>
      <c r="S126">
        <v>4.3160000000000007</v>
      </c>
      <c r="T126">
        <v>3.512</v>
      </c>
      <c r="V126">
        <v>-0.37000000000000011</v>
      </c>
      <c r="X126" s="4">
        <v>45254</v>
      </c>
      <c r="Y126">
        <v>2.2599999999999998</v>
      </c>
      <c r="Z126">
        <v>2.3580000000000001</v>
      </c>
      <c r="AA126">
        <v>2.2120000000000002</v>
      </c>
      <c r="AC126">
        <v>-0.16000000000000009</v>
      </c>
      <c r="AE126" s="4">
        <v>45254</v>
      </c>
      <c r="AF126">
        <v>2.21</v>
      </c>
      <c r="AG126">
        <v>1.972</v>
      </c>
      <c r="AH126">
        <v>1.29</v>
      </c>
      <c r="AJ126">
        <v>-0.21</v>
      </c>
      <c r="AL126" s="4">
        <v>45254</v>
      </c>
      <c r="AM126">
        <v>-0.45000000000000018</v>
      </c>
      <c r="AN126">
        <v>0</v>
      </c>
    </row>
    <row r="127" spans="17:40" x14ac:dyDescent="0.3">
      <c r="Q127" s="4">
        <v>45261</v>
      </c>
      <c r="R127">
        <v>4.22</v>
      </c>
      <c r="S127">
        <v>4.3160000000000007</v>
      </c>
      <c r="T127">
        <v>3.52</v>
      </c>
      <c r="V127">
        <v>-0.35000000000000048</v>
      </c>
      <c r="X127" s="4">
        <v>45261</v>
      </c>
      <c r="Y127">
        <v>2.2200000000000002</v>
      </c>
      <c r="Z127">
        <v>2.35</v>
      </c>
      <c r="AA127">
        <v>2.2120000000000002</v>
      </c>
      <c r="AC127">
        <v>-0.1699999999999999</v>
      </c>
      <c r="AE127" s="4">
        <v>45261</v>
      </c>
      <c r="AF127">
        <v>2</v>
      </c>
      <c r="AG127">
        <v>1.996</v>
      </c>
      <c r="AH127">
        <v>1.294</v>
      </c>
      <c r="AJ127">
        <v>-0.18000000000000019</v>
      </c>
      <c r="AL127" s="4">
        <v>45261</v>
      </c>
      <c r="AM127">
        <v>-0.33999999999999991</v>
      </c>
      <c r="AN127">
        <v>0</v>
      </c>
    </row>
    <row r="128" spans="17:40" x14ac:dyDescent="0.3">
      <c r="Q128" s="4">
        <v>45268</v>
      </c>
      <c r="R128">
        <v>4.2300000000000004</v>
      </c>
      <c r="S128">
        <v>4.3160000000000007</v>
      </c>
      <c r="T128">
        <v>3.52</v>
      </c>
      <c r="V128">
        <v>-0.37999999999999989</v>
      </c>
      <c r="X128" s="4">
        <v>45268</v>
      </c>
      <c r="Y128">
        <v>2.21</v>
      </c>
      <c r="Z128">
        <v>2.35</v>
      </c>
      <c r="AA128">
        <v>2.21</v>
      </c>
      <c r="AC128">
        <v>-0.1099999999999999</v>
      </c>
      <c r="AE128" s="4">
        <v>45268</v>
      </c>
      <c r="AF128">
        <v>2.02</v>
      </c>
      <c r="AG128">
        <v>2.016</v>
      </c>
      <c r="AH128">
        <v>1.294</v>
      </c>
      <c r="AJ128">
        <v>-0.27</v>
      </c>
      <c r="AL128" s="4">
        <v>45268</v>
      </c>
      <c r="AM128">
        <v>-0.47999999999999948</v>
      </c>
      <c r="AN128">
        <v>0</v>
      </c>
    </row>
    <row r="129" spans="17:40" x14ac:dyDescent="0.3">
      <c r="Q129" s="4">
        <v>45275</v>
      </c>
      <c r="R129">
        <v>3.91</v>
      </c>
      <c r="S129">
        <v>4.3160000000000007</v>
      </c>
      <c r="T129">
        <v>3.5219999999999998</v>
      </c>
      <c r="V129">
        <v>-0.53000000000000025</v>
      </c>
      <c r="X129" s="4">
        <v>45275</v>
      </c>
      <c r="Y129">
        <v>2.2200000000000002</v>
      </c>
      <c r="Z129">
        <v>2.35</v>
      </c>
      <c r="AA129">
        <v>2.2120000000000002</v>
      </c>
      <c r="AC129">
        <v>-5.9999999999999609E-2</v>
      </c>
      <c r="AE129" s="4">
        <v>45275</v>
      </c>
      <c r="AF129">
        <v>1.69</v>
      </c>
      <c r="AG129">
        <v>2.016</v>
      </c>
      <c r="AH129">
        <v>1.294</v>
      </c>
      <c r="AJ129">
        <v>-0.4700000000000002</v>
      </c>
      <c r="AL129" s="4">
        <v>45275</v>
      </c>
      <c r="AM129">
        <v>-0.53000000000000025</v>
      </c>
      <c r="AN129">
        <v>0</v>
      </c>
    </row>
    <row r="130" spans="17:40" x14ac:dyDescent="0.3">
      <c r="Q130" s="4">
        <v>45282</v>
      </c>
      <c r="R130">
        <v>3.9</v>
      </c>
      <c r="S130">
        <v>4.3160000000000007</v>
      </c>
      <c r="T130">
        <v>3.5219999999999998</v>
      </c>
      <c r="V130">
        <v>-0.56999999999999984</v>
      </c>
      <c r="X130" s="4">
        <v>45282</v>
      </c>
      <c r="Y130">
        <v>2.19</v>
      </c>
      <c r="Z130">
        <v>2.35</v>
      </c>
      <c r="AA130">
        <v>2.2120000000000002</v>
      </c>
      <c r="AC130">
        <v>-6.999999999999984E-2</v>
      </c>
      <c r="AE130" s="4">
        <v>45282</v>
      </c>
      <c r="AF130">
        <v>1.71</v>
      </c>
      <c r="AG130">
        <v>2.016</v>
      </c>
      <c r="AH130">
        <v>1.294</v>
      </c>
      <c r="AJ130">
        <v>-0.5</v>
      </c>
      <c r="AL130" s="4">
        <v>45282</v>
      </c>
      <c r="AM130">
        <v>-0.4099999999999997</v>
      </c>
      <c r="AN130">
        <v>0</v>
      </c>
    </row>
    <row r="131" spans="17:40" x14ac:dyDescent="0.3">
      <c r="Q131" s="4">
        <v>45289</v>
      </c>
      <c r="R131">
        <v>3.88</v>
      </c>
      <c r="S131">
        <v>4.3160000000000007</v>
      </c>
      <c r="T131">
        <v>3.5219999999999998</v>
      </c>
      <c r="V131">
        <v>-0.33999999999999991</v>
      </c>
      <c r="X131" s="4">
        <v>45289</v>
      </c>
      <c r="Y131">
        <v>2.16</v>
      </c>
      <c r="Z131">
        <v>2.35</v>
      </c>
      <c r="AA131">
        <v>2.21</v>
      </c>
      <c r="AC131">
        <v>-6.0000000000000053E-2</v>
      </c>
      <c r="AE131" s="4">
        <v>45289</v>
      </c>
      <c r="AF131">
        <v>1.72</v>
      </c>
      <c r="AG131">
        <v>2.016</v>
      </c>
      <c r="AH131">
        <v>1.294</v>
      </c>
      <c r="AJ131">
        <v>-0.28000000000000003</v>
      </c>
      <c r="AL131" s="4">
        <v>45289</v>
      </c>
      <c r="AM131">
        <v>-0.35000000000000048</v>
      </c>
      <c r="AN131">
        <v>0</v>
      </c>
    </row>
    <row r="132" spans="17:40" x14ac:dyDescent="0.3">
      <c r="Q132" s="4">
        <v>45296</v>
      </c>
      <c r="R132">
        <v>4.05</v>
      </c>
      <c r="S132">
        <v>4.3160000000000007</v>
      </c>
      <c r="T132">
        <v>3.5219999999999998</v>
      </c>
      <c r="V132">
        <v>-0.1800000000000006</v>
      </c>
      <c r="X132" s="4">
        <v>45296</v>
      </c>
      <c r="Y132">
        <v>2.2200000000000002</v>
      </c>
      <c r="Z132">
        <v>2.35</v>
      </c>
      <c r="AA132">
        <v>2.2120000000000002</v>
      </c>
      <c r="AC132">
        <v>1.0000000000000229E-2</v>
      </c>
      <c r="AE132" s="4">
        <v>45296</v>
      </c>
      <c r="AF132">
        <v>1.83</v>
      </c>
      <c r="AG132">
        <v>2.016</v>
      </c>
      <c r="AH132">
        <v>1.294</v>
      </c>
      <c r="AJ132">
        <v>-0.18999999999999989</v>
      </c>
      <c r="AL132" s="4">
        <v>45296</v>
      </c>
      <c r="AM132">
        <v>-0.35000000000000048</v>
      </c>
      <c r="AN132">
        <v>0</v>
      </c>
    </row>
    <row r="133" spans="17:40" x14ac:dyDescent="0.3">
      <c r="Q133" s="4">
        <v>45303</v>
      </c>
      <c r="R133">
        <v>3.96</v>
      </c>
      <c r="S133">
        <v>4.3160000000000007</v>
      </c>
      <c r="T133">
        <v>3.5379999999999998</v>
      </c>
      <c r="V133">
        <v>4.9999999999999822E-2</v>
      </c>
      <c r="X133" s="4">
        <v>45303</v>
      </c>
      <c r="Y133">
        <v>2.27</v>
      </c>
      <c r="Z133">
        <v>2.35</v>
      </c>
      <c r="AA133">
        <v>2.2200000000000002</v>
      </c>
      <c r="AC133">
        <v>4.9999999999999822E-2</v>
      </c>
      <c r="AE133" s="4">
        <v>45303</v>
      </c>
      <c r="AF133">
        <v>1.69</v>
      </c>
      <c r="AG133">
        <v>2.016</v>
      </c>
      <c r="AH133">
        <v>1.294</v>
      </c>
      <c r="AJ133">
        <v>0</v>
      </c>
      <c r="AL133" s="4">
        <v>45303</v>
      </c>
      <c r="AM133">
        <v>-0.17999999999999969</v>
      </c>
      <c r="AN133">
        <v>0</v>
      </c>
    </row>
    <row r="134" spans="17:40" x14ac:dyDescent="0.3">
      <c r="Q134" s="4">
        <v>45310</v>
      </c>
      <c r="R134">
        <v>4.1500000000000004</v>
      </c>
      <c r="S134">
        <v>4.3160000000000007</v>
      </c>
      <c r="T134">
        <v>3.5939999999999999</v>
      </c>
      <c r="V134">
        <v>0.25000000000000039</v>
      </c>
      <c r="X134" s="4">
        <v>45310</v>
      </c>
      <c r="Y134">
        <v>2.34</v>
      </c>
      <c r="Z134">
        <v>2.35</v>
      </c>
      <c r="AA134">
        <v>2.2200000000000002</v>
      </c>
      <c r="AC134">
        <v>0.14999999999999991</v>
      </c>
      <c r="AE134" s="4">
        <v>45310</v>
      </c>
      <c r="AF134">
        <v>1.81</v>
      </c>
      <c r="AG134">
        <v>2.016</v>
      </c>
      <c r="AH134">
        <v>1.33</v>
      </c>
      <c r="AJ134">
        <v>0.1000000000000001</v>
      </c>
      <c r="AL134" s="4">
        <v>45310</v>
      </c>
      <c r="AM134">
        <v>-0.2399999999999993</v>
      </c>
      <c r="AN134">
        <v>0</v>
      </c>
    </row>
    <row r="135" spans="17:40" x14ac:dyDescent="0.3">
      <c r="Q135" s="4">
        <v>45317</v>
      </c>
      <c r="R135">
        <v>4.1500000000000004</v>
      </c>
      <c r="S135">
        <v>4.3160000000000007</v>
      </c>
      <c r="T135">
        <v>3.6920000000000002</v>
      </c>
      <c r="V135">
        <v>0.27000000000000052</v>
      </c>
      <c r="X135" s="4">
        <v>45317</v>
      </c>
      <c r="Y135">
        <v>2.2999999999999998</v>
      </c>
      <c r="Z135">
        <v>2.35</v>
      </c>
      <c r="AA135">
        <v>2.2200000000000002</v>
      </c>
      <c r="AC135">
        <v>0.13999999999999971</v>
      </c>
      <c r="AE135" s="4">
        <v>45317</v>
      </c>
      <c r="AF135">
        <v>1.85</v>
      </c>
      <c r="AG135">
        <v>2.016</v>
      </c>
      <c r="AH135">
        <v>1.4159999999999999</v>
      </c>
      <c r="AJ135">
        <v>0.13000000000000009</v>
      </c>
      <c r="AL135" s="4">
        <v>45317</v>
      </c>
      <c r="AM135">
        <v>-0.1899999999999995</v>
      </c>
      <c r="AN135">
        <v>0</v>
      </c>
    </row>
    <row r="136" spans="17:40" x14ac:dyDescent="0.3">
      <c r="Q136" s="4">
        <v>45324</v>
      </c>
      <c r="R136">
        <v>4.03</v>
      </c>
      <c r="S136">
        <v>4.3160000000000007</v>
      </c>
      <c r="T136">
        <v>3.7</v>
      </c>
      <c r="V136">
        <v>-1.999999999999957E-2</v>
      </c>
      <c r="X136" s="4">
        <v>45324</v>
      </c>
      <c r="Y136">
        <v>2.21</v>
      </c>
      <c r="Z136">
        <v>2.35</v>
      </c>
      <c r="AA136">
        <v>2.2120000000000002</v>
      </c>
      <c r="AC136">
        <v>-1.0000000000000229E-2</v>
      </c>
      <c r="AE136" s="4">
        <v>45324</v>
      </c>
      <c r="AF136">
        <v>1.82</v>
      </c>
      <c r="AG136">
        <v>2.016</v>
      </c>
      <c r="AH136">
        <v>1.4419999999999999</v>
      </c>
      <c r="AJ136">
        <v>-1.0000000000000011E-2</v>
      </c>
      <c r="AL136" s="4">
        <v>45324</v>
      </c>
      <c r="AM136">
        <v>-0.33000000000000013</v>
      </c>
      <c r="AN136">
        <v>0</v>
      </c>
    </row>
    <row r="137" spans="17:40" x14ac:dyDescent="0.3">
      <c r="Q137" s="4">
        <v>45331</v>
      </c>
      <c r="R137">
        <v>4.17</v>
      </c>
      <c r="S137">
        <v>4.3160000000000007</v>
      </c>
      <c r="T137">
        <v>3.7</v>
      </c>
      <c r="V137">
        <v>0.21</v>
      </c>
      <c r="X137" s="4">
        <v>45331</v>
      </c>
      <c r="Y137">
        <v>2.25</v>
      </c>
      <c r="Z137">
        <v>2.35</v>
      </c>
      <c r="AA137">
        <v>2.2120000000000002</v>
      </c>
      <c r="AC137">
        <v>-2.0000000000000021E-2</v>
      </c>
      <c r="AE137" s="4">
        <v>45331</v>
      </c>
      <c r="AF137">
        <v>1.92</v>
      </c>
      <c r="AG137">
        <v>2.016</v>
      </c>
      <c r="AH137">
        <v>1.452</v>
      </c>
      <c r="AJ137">
        <v>0.23</v>
      </c>
      <c r="AL137" s="4">
        <v>45331</v>
      </c>
      <c r="AM137">
        <v>-0.3100000000000005</v>
      </c>
      <c r="AN137">
        <v>0</v>
      </c>
    </row>
    <row r="138" spans="17:40" x14ac:dyDescent="0.3">
      <c r="Q138" s="4">
        <v>45338</v>
      </c>
      <c r="R138">
        <v>4.3</v>
      </c>
      <c r="S138">
        <v>4.3239999999999998</v>
      </c>
      <c r="T138">
        <v>3.7</v>
      </c>
      <c r="V138">
        <v>0.14999999999999949</v>
      </c>
      <c r="X138" s="4">
        <v>45338</v>
      </c>
      <c r="Y138">
        <v>2.33</v>
      </c>
      <c r="Z138">
        <v>2.35</v>
      </c>
      <c r="AA138">
        <v>2.2120000000000002</v>
      </c>
      <c r="AC138">
        <v>-9.9999999999997868E-3</v>
      </c>
      <c r="AE138" s="4">
        <v>45338</v>
      </c>
      <c r="AF138">
        <v>1.97</v>
      </c>
      <c r="AG138">
        <v>2.016</v>
      </c>
      <c r="AH138">
        <v>1.452</v>
      </c>
      <c r="AJ138">
        <v>0.15999999999999989</v>
      </c>
      <c r="AL138" s="4">
        <v>45338</v>
      </c>
      <c r="AM138">
        <v>-0.33999999999999991</v>
      </c>
      <c r="AN138">
        <v>0</v>
      </c>
    </row>
    <row r="139" spans="17:40" x14ac:dyDescent="0.3">
      <c r="Q139" s="4">
        <v>45345</v>
      </c>
      <c r="R139">
        <v>4.26</v>
      </c>
      <c r="S139">
        <v>4.3239999999999998</v>
      </c>
      <c r="T139">
        <v>3.7</v>
      </c>
      <c r="V139">
        <v>0.1099999999999994</v>
      </c>
      <c r="X139" s="4">
        <v>45345</v>
      </c>
      <c r="Y139">
        <v>2.2999999999999998</v>
      </c>
      <c r="Z139">
        <v>2.3479999999999999</v>
      </c>
      <c r="AA139">
        <v>2.2120000000000002</v>
      </c>
      <c r="AC139">
        <v>0</v>
      </c>
      <c r="AE139" s="4">
        <v>45345</v>
      </c>
      <c r="AF139">
        <v>1.96</v>
      </c>
      <c r="AG139">
        <v>2.016</v>
      </c>
      <c r="AH139">
        <v>1.452</v>
      </c>
      <c r="AJ139">
        <v>0.1099999999999999</v>
      </c>
      <c r="AL139" s="4">
        <v>45345</v>
      </c>
      <c r="AM139">
        <v>-0.41000000000000009</v>
      </c>
      <c r="AN139">
        <v>0</v>
      </c>
    </row>
    <row r="140" spans="17:40" x14ac:dyDescent="0.3">
      <c r="Q140" s="4">
        <v>45352</v>
      </c>
      <c r="R140">
        <v>4.1900000000000004</v>
      </c>
      <c r="S140">
        <v>4.3239999999999998</v>
      </c>
      <c r="T140">
        <v>3.7</v>
      </c>
      <c r="V140">
        <v>0.16000000000000009</v>
      </c>
      <c r="X140" s="4">
        <v>45352</v>
      </c>
      <c r="Y140">
        <v>2.3199999999999998</v>
      </c>
      <c r="Z140">
        <v>2.34</v>
      </c>
      <c r="AA140">
        <v>2.2120000000000002</v>
      </c>
      <c r="AC140">
        <v>0.1099999999999999</v>
      </c>
      <c r="AE140" s="4">
        <v>45352</v>
      </c>
      <c r="AF140">
        <v>1.87</v>
      </c>
      <c r="AG140">
        <v>2.016</v>
      </c>
      <c r="AH140">
        <v>1.466</v>
      </c>
      <c r="AJ140">
        <v>5.0000000000000037E-2</v>
      </c>
      <c r="AL140" s="4">
        <v>45352</v>
      </c>
      <c r="AM140">
        <v>-0.34999999999999959</v>
      </c>
      <c r="AN140">
        <v>0</v>
      </c>
    </row>
    <row r="141" spans="17:40" x14ac:dyDescent="0.3">
      <c r="Q141" s="4">
        <v>45359</v>
      </c>
      <c r="R141">
        <v>4.09</v>
      </c>
      <c r="S141">
        <v>4.3239999999999998</v>
      </c>
      <c r="T141">
        <v>3.7080000000000002</v>
      </c>
      <c r="V141">
        <v>-8.0000000000000071E-2</v>
      </c>
      <c r="X141" s="4">
        <v>45359</v>
      </c>
      <c r="Y141">
        <v>2.2799999999999998</v>
      </c>
      <c r="Z141">
        <v>2.34</v>
      </c>
      <c r="AA141">
        <v>2.2120000000000002</v>
      </c>
      <c r="AC141">
        <v>2.9999999999999801E-2</v>
      </c>
      <c r="AE141" s="4">
        <v>45359</v>
      </c>
      <c r="AF141">
        <v>1.81</v>
      </c>
      <c r="AG141">
        <v>2.016</v>
      </c>
      <c r="AH141">
        <v>1.494</v>
      </c>
      <c r="AJ141">
        <v>-0.1099999999999999</v>
      </c>
      <c r="AL141" s="4">
        <v>45359</v>
      </c>
      <c r="AM141">
        <v>-0.39000000000000062</v>
      </c>
      <c r="AN141">
        <v>0</v>
      </c>
    </row>
    <row r="142" spans="17:40" x14ac:dyDescent="0.3">
      <c r="Q142" s="4">
        <v>45366</v>
      </c>
      <c r="R142">
        <v>4.3099999999999996</v>
      </c>
      <c r="S142">
        <v>4.3259999999999996</v>
      </c>
      <c r="T142">
        <v>3.742</v>
      </c>
      <c r="V142">
        <v>9.9999999999997868E-3</v>
      </c>
      <c r="X142" s="4">
        <v>45366</v>
      </c>
      <c r="Y142">
        <v>2.3199999999999998</v>
      </c>
      <c r="Z142">
        <v>2.34</v>
      </c>
      <c r="AA142">
        <v>2.2200000000000002</v>
      </c>
      <c r="AC142">
        <v>-1.0000000000000229E-2</v>
      </c>
      <c r="AE142" s="4">
        <v>45366</v>
      </c>
      <c r="AF142">
        <v>1.99</v>
      </c>
      <c r="AG142">
        <v>2.016</v>
      </c>
      <c r="AH142">
        <v>1.514</v>
      </c>
      <c r="AJ142">
        <v>2.0000000000000021E-2</v>
      </c>
      <c r="AL142" s="4">
        <v>45366</v>
      </c>
      <c r="AM142">
        <v>-0.41000000000000009</v>
      </c>
      <c r="AN142">
        <v>0</v>
      </c>
    </row>
    <row r="143" spans="17:40" x14ac:dyDescent="0.3">
      <c r="Q143" s="4">
        <v>45373</v>
      </c>
      <c r="R143">
        <v>4.22</v>
      </c>
      <c r="S143">
        <v>4.3259999999999996</v>
      </c>
      <c r="T143">
        <v>3.754</v>
      </c>
      <c r="V143">
        <v>-4.0000000000000042E-2</v>
      </c>
      <c r="X143" s="4">
        <v>45373</v>
      </c>
      <c r="Y143">
        <v>2.35</v>
      </c>
      <c r="Z143">
        <v>2.3479999999999999</v>
      </c>
      <c r="AA143">
        <v>2.2200000000000002</v>
      </c>
      <c r="AC143">
        <v>5.0000000000000273E-2</v>
      </c>
      <c r="AE143" s="4">
        <v>45373</v>
      </c>
      <c r="AF143">
        <v>1.87</v>
      </c>
      <c r="AG143">
        <v>2.016</v>
      </c>
      <c r="AH143">
        <v>1.534</v>
      </c>
      <c r="AJ143">
        <v>-8.9999999999999858E-2</v>
      </c>
      <c r="AL143" s="4">
        <v>45373</v>
      </c>
      <c r="AM143">
        <v>-0.37000000000000011</v>
      </c>
      <c r="AN143">
        <v>0</v>
      </c>
    </row>
    <row r="144" spans="17:40" x14ac:dyDescent="0.3">
      <c r="Q144" s="4">
        <v>45380</v>
      </c>
      <c r="R144">
        <v>4.2</v>
      </c>
      <c r="S144">
        <v>4.3259999999999996</v>
      </c>
      <c r="T144">
        <v>3.7759999999999998</v>
      </c>
      <c r="V144">
        <v>9.9999999999997868E-3</v>
      </c>
      <c r="X144" s="4">
        <v>45380</v>
      </c>
      <c r="Y144">
        <v>2.3199999999999998</v>
      </c>
      <c r="Z144">
        <v>2.3479999999999999</v>
      </c>
      <c r="AA144">
        <v>2.2200000000000002</v>
      </c>
      <c r="AC144">
        <v>0</v>
      </c>
      <c r="AE144" s="4">
        <v>45380</v>
      </c>
      <c r="AF144">
        <v>1.88</v>
      </c>
      <c r="AG144">
        <v>2.016</v>
      </c>
      <c r="AH144">
        <v>1.55</v>
      </c>
      <c r="AJ144">
        <v>9.9999999999997868E-3</v>
      </c>
      <c r="AL144" s="4">
        <v>45380</v>
      </c>
      <c r="AM144">
        <v>-0.38999999999999968</v>
      </c>
      <c r="AN144">
        <v>0</v>
      </c>
    </row>
    <row r="145" spans="17:40" x14ac:dyDescent="0.3">
      <c r="Q145" s="4">
        <v>45387</v>
      </c>
      <c r="R145">
        <v>4.3899999999999997</v>
      </c>
      <c r="S145">
        <v>4.3780000000000001</v>
      </c>
      <c r="T145">
        <v>3.802</v>
      </c>
      <c r="V145">
        <v>0.29999999999999982</v>
      </c>
      <c r="X145" s="4">
        <v>45387</v>
      </c>
      <c r="Y145">
        <v>2.37</v>
      </c>
      <c r="Z145">
        <v>2.35</v>
      </c>
      <c r="AA145">
        <v>2.2200000000000002</v>
      </c>
      <c r="AC145">
        <v>9.0000000000000302E-2</v>
      </c>
      <c r="AE145" s="4">
        <v>45387</v>
      </c>
      <c r="AF145">
        <v>2.02</v>
      </c>
      <c r="AG145">
        <v>2.02</v>
      </c>
      <c r="AH145">
        <v>1.554</v>
      </c>
      <c r="AJ145">
        <v>0.21</v>
      </c>
      <c r="AL145" s="4">
        <v>45387</v>
      </c>
      <c r="AM145">
        <v>-0.34000000000000069</v>
      </c>
      <c r="AN145">
        <v>0</v>
      </c>
    </row>
    <row r="146" spans="17:40" x14ac:dyDescent="0.3">
      <c r="Q146" s="4">
        <v>45394</v>
      </c>
      <c r="R146">
        <v>4.5</v>
      </c>
      <c r="S146">
        <v>4.4300000000000006</v>
      </c>
      <c r="T146">
        <v>3.8140000000000001</v>
      </c>
      <c r="V146">
        <v>0.19000000000000039</v>
      </c>
      <c r="X146" s="4">
        <v>45394</v>
      </c>
      <c r="Y146">
        <v>2.39</v>
      </c>
      <c r="Z146">
        <v>2.35</v>
      </c>
      <c r="AA146">
        <v>2.2200000000000002</v>
      </c>
      <c r="AC146">
        <v>7.0000000000000284E-2</v>
      </c>
      <c r="AE146" s="4">
        <v>45394</v>
      </c>
      <c r="AF146">
        <v>2.11</v>
      </c>
      <c r="AG146">
        <v>2.06</v>
      </c>
      <c r="AH146">
        <v>1.5720000000000001</v>
      </c>
      <c r="AJ146">
        <v>0.1199999999999999</v>
      </c>
      <c r="AL146" s="4">
        <v>45394</v>
      </c>
      <c r="AM146">
        <v>-0.37999999999999989</v>
      </c>
      <c r="AN146">
        <v>0</v>
      </c>
    </row>
    <row r="147" spans="17:40" x14ac:dyDescent="0.3">
      <c r="Q147" s="4">
        <v>45401</v>
      </c>
      <c r="R147">
        <v>4.62</v>
      </c>
      <c r="S147">
        <v>4.4400000000000004</v>
      </c>
      <c r="T147">
        <v>3.8319999999999999</v>
      </c>
      <c r="V147">
        <v>0.40000000000000041</v>
      </c>
      <c r="X147" s="4">
        <v>45401</v>
      </c>
      <c r="Y147">
        <v>2.41</v>
      </c>
      <c r="Z147">
        <v>2.35</v>
      </c>
      <c r="AA147">
        <v>2.2200000000000002</v>
      </c>
      <c r="AC147">
        <v>6.0000000000000053E-2</v>
      </c>
      <c r="AE147" s="4">
        <v>45401</v>
      </c>
      <c r="AF147">
        <v>2.21</v>
      </c>
      <c r="AG147">
        <v>2.1019999999999999</v>
      </c>
      <c r="AH147">
        <v>1.5820000000000001</v>
      </c>
      <c r="AJ147">
        <v>0.33999999999999991</v>
      </c>
      <c r="AL147" s="4">
        <v>45401</v>
      </c>
      <c r="AM147">
        <v>-0.34999999999999959</v>
      </c>
      <c r="AN147">
        <v>0</v>
      </c>
    </row>
    <row r="148" spans="17:40" x14ac:dyDescent="0.3">
      <c r="Q148" s="4">
        <v>45408</v>
      </c>
      <c r="R148">
        <v>4.67</v>
      </c>
      <c r="S148">
        <v>4.4640000000000004</v>
      </c>
      <c r="T148">
        <v>3.8479999999999999</v>
      </c>
      <c r="V148">
        <v>0.46999999999999981</v>
      </c>
      <c r="X148" s="4">
        <v>45408</v>
      </c>
      <c r="Y148">
        <v>2.4300000000000002</v>
      </c>
      <c r="Z148">
        <v>2.3580000000000001</v>
      </c>
      <c r="AA148">
        <v>2.2200000000000002</v>
      </c>
      <c r="AC148">
        <v>0.11000000000000031</v>
      </c>
      <c r="AE148" s="4">
        <v>45408</v>
      </c>
      <c r="AF148">
        <v>2.2400000000000002</v>
      </c>
      <c r="AG148">
        <v>2.15</v>
      </c>
      <c r="AH148">
        <v>1.59</v>
      </c>
      <c r="AJ148">
        <v>0.36000000000000032</v>
      </c>
      <c r="AL148" s="4">
        <v>45408</v>
      </c>
      <c r="AM148">
        <v>-0.28999999999999998</v>
      </c>
      <c r="AN148">
        <v>0</v>
      </c>
    </row>
    <row r="149" spans="17:40" x14ac:dyDescent="0.3">
      <c r="Q149" s="4">
        <v>45415</v>
      </c>
      <c r="R149">
        <v>4.5</v>
      </c>
      <c r="S149">
        <v>4.4939999999999998</v>
      </c>
      <c r="T149">
        <v>3.8839999999999999</v>
      </c>
      <c r="V149">
        <v>0.11000000000000031</v>
      </c>
      <c r="X149" s="4">
        <v>45415</v>
      </c>
      <c r="Y149">
        <v>2.35</v>
      </c>
      <c r="Z149">
        <v>2.3580000000000001</v>
      </c>
      <c r="AA149">
        <v>2.2200000000000002</v>
      </c>
      <c r="AC149">
        <v>-2.0000000000000021E-2</v>
      </c>
      <c r="AE149" s="4">
        <v>45415</v>
      </c>
      <c r="AF149">
        <v>2.15</v>
      </c>
      <c r="AG149">
        <v>2.1579999999999999</v>
      </c>
      <c r="AH149">
        <v>1.6060000000000001</v>
      </c>
      <c r="AJ149">
        <v>0.12999999999999989</v>
      </c>
      <c r="AL149" s="4">
        <v>45415</v>
      </c>
      <c r="AM149">
        <v>-0.30999999999999961</v>
      </c>
      <c r="AN149">
        <v>0</v>
      </c>
    </row>
    <row r="150" spans="17:40" x14ac:dyDescent="0.3">
      <c r="Q150" s="4">
        <v>45422</v>
      </c>
      <c r="R150">
        <v>4.5</v>
      </c>
      <c r="S150">
        <v>4.5</v>
      </c>
      <c r="T150">
        <v>3.9020000000000001</v>
      </c>
      <c r="V150">
        <v>0</v>
      </c>
      <c r="X150" s="4">
        <v>45422</v>
      </c>
      <c r="Y150">
        <v>2.34</v>
      </c>
      <c r="Z150">
        <v>2.3580000000000001</v>
      </c>
      <c r="AA150">
        <v>2.2200000000000002</v>
      </c>
      <c r="AC150">
        <v>-5.0000000000000273E-2</v>
      </c>
      <c r="AE150" s="4">
        <v>45422</v>
      </c>
      <c r="AF150">
        <v>2.16</v>
      </c>
      <c r="AG150">
        <v>2.16</v>
      </c>
      <c r="AH150">
        <v>1.6739999999999999</v>
      </c>
      <c r="AJ150">
        <v>5.0000000000000273E-2</v>
      </c>
      <c r="AL150" s="4">
        <v>45422</v>
      </c>
      <c r="AM150">
        <v>-0.37000000000000011</v>
      </c>
      <c r="AN150">
        <v>0</v>
      </c>
    </row>
    <row r="151" spans="17:40" x14ac:dyDescent="0.3">
      <c r="Q151" s="4">
        <v>45429</v>
      </c>
      <c r="R151">
        <v>4.42</v>
      </c>
      <c r="S151">
        <v>4.5</v>
      </c>
      <c r="T151">
        <v>3.92</v>
      </c>
      <c r="V151">
        <v>-0.20000000000000021</v>
      </c>
      <c r="X151" s="4">
        <v>45429</v>
      </c>
      <c r="Y151">
        <v>2.3199999999999998</v>
      </c>
      <c r="Z151">
        <v>2.3580000000000001</v>
      </c>
      <c r="AA151">
        <v>2.2200000000000002</v>
      </c>
      <c r="AC151">
        <v>-9.0000000000000302E-2</v>
      </c>
      <c r="AE151" s="4">
        <v>45429</v>
      </c>
      <c r="AF151">
        <v>2.1</v>
      </c>
      <c r="AG151">
        <v>2.16</v>
      </c>
      <c r="AH151">
        <v>1.69</v>
      </c>
      <c r="AJ151">
        <v>-0.1099999999999999</v>
      </c>
      <c r="AL151" s="4">
        <v>45429</v>
      </c>
      <c r="AM151">
        <v>-0.41000000000000009</v>
      </c>
      <c r="AN151">
        <v>0</v>
      </c>
    </row>
    <row r="152" spans="17:40" x14ac:dyDescent="0.3">
      <c r="Q152" s="4">
        <v>45436</v>
      </c>
      <c r="R152">
        <v>4.46</v>
      </c>
      <c r="S152">
        <v>4.5</v>
      </c>
      <c r="T152">
        <v>3.96</v>
      </c>
      <c r="V152">
        <v>-0.21</v>
      </c>
      <c r="X152" s="4">
        <v>45436</v>
      </c>
      <c r="Y152">
        <v>2.3199999999999998</v>
      </c>
      <c r="Z152">
        <v>2.3580000000000001</v>
      </c>
      <c r="AA152">
        <v>2.2200000000000002</v>
      </c>
      <c r="AC152">
        <v>-0.11000000000000031</v>
      </c>
      <c r="AE152" s="4">
        <v>45436</v>
      </c>
      <c r="AF152">
        <v>2.14</v>
      </c>
      <c r="AG152">
        <v>2.16</v>
      </c>
      <c r="AH152">
        <v>1.694</v>
      </c>
      <c r="AJ152">
        <v>-0.1000000000000001</v>
      </c>
      <c r="AL152" s="4">
        <v>45436</v>
      </c>
      <c r="AM152">
        <v>-0.46999999999999981</v>
      </c>
      <c r="AN152">
        <v>0</v>
      </c>
    </row>
    <row r="153" spans="17:40" x14ac:dyDescent="0.3">
      <c r="Q153" s="4">
        <v>45443</v>
      </c>
      <c r="R153">
        <v>4.51</v>
      </c>
      <c r="S153">
        <v>4.5</v>
      </c>
      <c r="T153">
        <v>3.9740000000000002</v>
      </c>
      <c r="V153">
        <v>9.9999999999997868E-3</v>
      </c>
      <c r="X153" s="4">
        <v>45443</v>
      </c>
      <c r="Y153">
        <v>2.35</v>
      </c>
      <c r="Z153">
        <v>2.3580000000000001</v>
      </c>
      <c r="AA153">
        <v>2.2240000000000002</v>
      </c>
      <c r="AC153">
        <v>0</v>
      </c>
      <c r="AE153" s="4">
        <v>45443</v>
      </c>
      <c r="AF153">
        <v>2.16</v>
      </c>
      <c r="AG153">
        <v>2.16</v>
      </c>
      <c r="AH153">
        <v>1.712</v>
      </c>
      <c r="AJ153">
        <v>1.0000000000000229E-2</v>
      </c>
      <c r="AL153" s="4">
        <v>45443</v>
      </c>
      <c r="AM153">
        <v>-0.37999999999999989</v>
      </c>
      <c r="AN153">
        <v>0</v>
      </c>
    </row>
    <row r="154" spans="17:40" x14ac:dyDescent="0.3">
      <c r="Q154" s="4">
        <v>45450</v>
      </c>
      <c r="R154">
        <v>4.43</v>
      </c>
      <c r="S154">
        <v>4.5</v>
      </c>
      <c r="T154">
        <v>4.0339999999999998</v>
      </c>
      <c r="V154">
        <v>-7.0000000000000284E-2</v>
      </c>
      <c r="X154" s="4">
        <v>45450</v>
      </c>
      <c r="Y154">
        <v>2.2999999999999998</v>
      </c>
      <c r="Z154">
        <v>2.3580000000000001</v>
      </c>
      <c r="AA154">
        <v>2.242</v>
      </c>
      <c r="AC154">
        <v>-4.0000000000000042E-2</v>
      </c>
      <c r="AE154" s="4">
        <v>45450</v>
      </c>
      <c r="AF154">
        <v>2.13</v>
      </c>
      <c r="AG154">
        <v>2.16</v>
      </c>
      <c r="AH154">
        <v>1.734</v>
      </c>
      <c r="AJ154">
        <v>-3.0000000000000249E-2</v>
      </c>
      <c r="AL154" s="4">
        <v>45450</v>
      </c>
      <c r="AM154">
        <v>-0.44000000000000039</v>
      </c>
      <c r="AN154">
        <v>0</v>
      </c>
    </row>
    <row r="155" spans="17:40" x14ac:dyDescent="0.3">
      <c r="Q155" s="4">
        <v>45457</v>
      </c>
      <c r="R155">
        <v>4.2</v>
      </c>
      <c r="S155">
        <v>4.5</v>
      </c>
      <c r="T155">
        <v>4.05</v>
      </c>
      <c r="V155">
        <v>-0.21999999999999981</v>
      </c>
      <c r="X155" s="4">
        <v>45457</v>
      </c>
      <c r="Y155">
        <v>2.17</v>
      </c>
      <c r="Z155">
        <v>2.3580000000000001</v>
      </c>
      <c r="AA155">
        <v>2.242</v>
      </c>
      <c r="AC155">
        <v>-0.14999999999999991</v>
      </c>
      <c r="AE155" s="4">
        <v>45457</v>
      </c>
      <c r="AF155">
        <v>2.0299999999999998</v>
      </c>
      <c r="AG155">
        <v>2.16</v>
      </c>
      <c r="AH155">
        <v>1.792</v>
      </c>
      <c r="AJ155">
        <v>-7.0000000000000284E-2</v>
      </c>
      <c r="AL155" s="4">
        <v>45457</v>
      </c>
      <c r="AM155">
        <v>-0.46999999999999981</v>
      </c>
      <c r="AN155">
        <v>0</v>
      </c>
    </row>
    <row r="156" spans="17:40" x14ac:dyDescent="0.3">
      <c r="Q156" s="4">
        <v>45464</v>
      </c>
      <c r="R156">
        <v>4.25</v>
      </c>
      <c r="S156">
        <v>4.5</v>
      </c>
      <c r="T156">
        <v>4.0519999999999996</v>
      </c>
      <c r="V156">
        <v>-0.21</v>
      </c>
      <c r="X156" s="4">
        <v>45464</v>
      </c>
      <c r="Y156">
        <v>2.23</v>
      </c>
      <c r="Z156">
        <v>2.3580000000000001</v>
      </c>
      <c r="AA156">
        <v>2.242</v>
      </c>
      <c r="AC156">
        <v>-8.9999999999999858E-2</v>
      </c>
      <c r="AE156" s="4">
        <v>45464</v>
      </c>
      <c r="AF156">
        <v>2.02</v>
      </c>
      <c r="AG156">
        <v>2.16</v>
      </c>
      <c r="AH156">
        <v>1.802</v>
      </c>
      <c r="AJ156">
        <v>-0.12000000000000011</v>
      </c>
      <c r="AL156" s="4">
        <v>45464</v>
      </c>
      <c r="AM156">
        <v>-0.45000000000000018</v>
      </c>
      <c r="AN156">
        <v>0</v>
      </c>
    </row>
    <row r="157" spans="17:40" x14ac:dyDescent="0.3">
      <c r="Q157" s="4">
        <v>45471</v>
      </c>
      <c r="R157">
        <v>4.3600000000000003</v>
      </c>
      <c r="S157">
        <v>4.5</v>
      </c>
      <c r="T157">
        <v>4.0659999999999998</v>
      </c>
      <c r="V157">
        <v>-0.14999999999999949</v>
      </c>
      <c r="X157" s="4">
        <v>45471</v>
      </c>
      <c r="Y157">
        <v>2.2799999999999998</v>
      </c>
      <c r="Z157">
        <v>2.3580000000000001</v>
      </c>
      <c r="AA157">
        <v>2.2519999999999998</v>
      </c>
      <c r="AC157">
        <v>-7.0000000000000284E-2</v>
      </c>
      <c r="AE157" s="4">
        <v>45471</v>
      </c>
      <c r="AF157">
        <v>2.08</v>
      </c>
      <c r="AG157">
        <v>2.16</v>
      </c>
      <c r="AH157">
        <v>1.81</v>
      </c>
      <c r="AJ157">
        <v>-8.0000000000000071E-2</v>
      </c>
      <c r="AL157" s="4">
        <v>45471</v>
      </c>
      <c r="AM157">
        <v>-0.34999999999999959</v>
      </c>
      <c r="AN157">
        <v>0</v>
      </c>
    </row>
    <row r="158" spans="17:40" x14ac:dyDescent="0.3">
      <c r="Q158" s="4">
        <v>45478</v>
      </c>
      <c r="R158">
        <v>4.28</v>
      </c>
      <c r="S158">
        <v>4.5</v>
      </c>
      <c r="T158">
        <v>4.1020000000000003</v>
      </c>
      <c r="V158">
        <v>-0.14999999999999949</v>
      </c>
      <c r="X158" s="4">
        <v>45478</v>
      </c>
      <c r="Y158">
        <v>2.2799999999999998</v>
      </c>
      <c r="Z158">
        <v>2.3580000000000001</v>
      </c>
      <c r="AA158">
        <v>2.2519999999999998</v>
      </c>
      <c r="AC158">
        <v>-2.0000000000000021E-2</v>
      </c>
      <c r="AE158" s="4">
        <v>45478</v>
      </c>
      <c r="AF158">
        <v>2</v>
      </c>
      <c r="AG158">
        <v>2.16</v>
      </c>
      <c r="AH158">
        <v>1.8120000000000001</v>
      </c>
      <c r="AJ158">
        <v>-0.12999999999999989</v>
      </c>
      <c r="AL158" s="4">
        <v>45478</v>
      </c>
      <c r="AM158">
        <v>-0.3199999999999994</v>
      </c>
      <c r="AN158">
        <v>0</v>
      </c>
    </row>
    <row r="159" spans="17:40" x14ac:dyDescent="0.3">
      <c r="Q159" s="4">
        <v>45485</v>
      </c>
      <c r="R159">
        <v>4.18</v>
      </c>
      <c r="S159">
        <v>4.5</v>
      </c>
      <c r="T159">
        <v>4.1500000000000004</v>
      </c>
      <c r="V159">
        <v>-2.0000000000000458E-2</v>
      </c>
      <c r="X159" s="4">
        <v>45485</v>
      </c>
      <c r="Y159">
        <v>2.2400000000000002</v>
      </c>
      <c r="Z159">
        <v>2.3580000000000001</v>
      </c>
      <c r="AA159">
        <v>2.2519999999999998</v>
      </c>
      <c r="AC159">
        <v>7.0000000000000284E-2</v>
      </c>
      <c r="AE159" s="4">
        <v>45485</v>
      </c>
      <c r="AF159">
        <v>1.94</v>
      </c>
      <c r="AG159">
        <v>2.16</v>
      </c>
      <c r="AH159">
        <v>1.8220000000000001</v>
      </c>
      <c r="AJ159">
        <v>-8.9999999999999858E-2</v>
      </c>
      <c r="AL159" s="4">
        <v>45485</v>
      </c>
      <c r="AM159">
        <v>-0.27000000000000052</v>
      </c>
      <c r="AN159">
        <v>0</v>
      </c>
    </row>
    <row r="160" spans="17:40" x14ac:dyDescent="0.3">
      <c r="Q160" s="4">
        <v>45492</v>
      </c>
      <c r="R160">
        <v>4.25</v>
      </c>
      <c r="S160">
        <v>4.5</v>
      </c>
      <c r="T160">
        <v>4.1520000000000001</v>
      </c>
      <c r="V160">
        <v>0</v>
      </c>
      <c r="X160" s="4">
        <v>45492</v>
      </c>
      <c r="Y160">
        <v>2.3199999999999998</v>
      </c>
      <c r="Z160">
        <v>2.3580000000000001</v>
      </c>
      <c r="AA160">
        <v>2.2519999999999998</v>
      </c>
      <c r="AC160">
        <v>8.9999999999999858E-2</v>
      </c>
      <c r="AE160" s="4">
        <v>45492</v>
      </c>
      <c r="AF160">
        <v>1.93</v>
      </c>
      <c r="AG160">
        <v>2.16</v>
      </c>
      <c r="AH160">
        <v>1.8340000000000001</v>
      </c>
      <c r="AJ160">
        <v>-9.000000000000008E-2</v>
      </c>
      <c r="AL160" s="4">
        <v>45492</v>
      </c>
      <c r="AM160">
        <v>-0.24000000000000021</v>
      </c>
      <c r="AN160">
        <v>0</v>
      </c>
    </row>
    <row r="161" spans="17:40" x14ac:dyDescent="0.3">
      <c r="Q161" s="4">
        <v>45499</v>
      </c>
      <c r="R161">
        <v>4.2</v>
      </c>
      <c r="S161">
        <v>4.5</v>
      </c>
      <c r="T161">
        <v>4.1619999999999999</v>
      </c>
      <c r="V161">
        <v>-0.16000000000000009</v>
      </c>
      <c r="X161" s="4">
        <v>45499</v>
      </c>
      <c r="Y161">
        <v>2.27</v>
      </c>
      <c r="Z161">
        <v>2.35</v>
      </c>
      <c r="AA161">
        <v>2.2519999999999998</v>
      </c>
      <c r="AC161">
        <v>-9.9999999999997868E-3</v>
      </c>
      <c r="AE161" s="4">
        <v>45499</v>
      </c>
      <c r="AF161">
        <v>1.93</v>
      </c>
      <c r="AG161">
        <v>2.16</v>
      </c>
      <c r="AH161">
        <v>1.8540000000000001</v>
      </c>
      <c r="AJ161">
        <v>-0.15000000000000011</v>
      </c>
      <c r="AL161" s="4">
        <v>45499</v>
      </c>
      <c r="AM161">
        <v>-0.16000000000000009</v>
      </c>
      <c r="AN161">
        <v>0</v>
      </c>
    </row>
    <row r="162" spans="17:40" x14ac:dyDescent="0.3">
      <c r="Q162" s="4">
        <v>45506</v>
      </c>
      <c r="R162">
        <v>3.8</v>
      </c>
      <c r="S162">
        <v>4.5</v>
      </c>
      <c r="T162">
        <v>4.1619999999999999</v>
      </c>
      <c r="V162">
        <v>-0.48000000000000043</v>
      </c>
      <c r="X162" s="4">
        <v>45506</v>
      </c>
      <c r="Y162">
        <v>2.04</v>
      </c>
      <c r="Z162">
        <v>2.35</v>
      </c>
      <c r="AA162">
        <v>2.242</v>
      </c>
      <c r="AC162">
        <v>-0.2399999999999998</v>
      </c>
      <c r="AE162" s="4">
        <v>45506</v>
      </c>
      <c r="AF162">
        <v>1.76</v>
      </c>
      <c r="AG162">
        <v>2.16</v>
      </c>
      <c r="AH162">
        <v>1.8540000000000001</v>
      </c>
      <c r="AJ162">
        <v>-0.24</v>
      </c>
      <c r="AL162" s="4">
        <v>45506</v>
      </c>
      <c r="AM162">
        <v>-8.0000000000000071E-2</v>
      </c>
      <c r="AN162">
        <v>0</v>
      </c>
    </row>
    <row r="163" spans="17:40" x14ac:dyDescent="0.3">
      <c r="Q163" s="4">
        <v>45513</v>
      </c>
      <c r="R163">
        <v>3.94</v>
      </c>
      <c r="S163">
        <v>4.5</v>
      </c>
      <c r="T163">
        <v>4.1539999999999999</v>
      </c>
      <c r="V163">
        <v>-0.2399999999999998</v>
      </c>
      <c r="X163" s="4">
        <v>45513</v>
      </c>
      <c r="Y163">
        <v>2.1</v>
      </c>
      <c r="Z163">
        <v>2.35</v>
      </c>
      <c r="AA163">
        <v>2.2320000000000002</v>
      </c>
      <c r="AC163">
        <v>-0.1400000000000001</v>
      </c>
      <c r="AE163" s="4">
        <v>45513</v>
      </c>
      <c r="AF163">
        <v>1.84</v>
      </c>
      <c r="AG163">
        <v>2.16</v>
      </c>
      <c r="AH163">
        <v>1.8540000000000001</v>
      </c>
      <c r="AJ163">
        <v>-9.9999999999999867E-2</v>
      </c>
      <c r="AL163" s="4">
        <v>45513</v>
      </c>
      <c r="AM163">
        <v>-0.1099999999999999</v>
      </c>
      <c r="AN163">
        <v>0</v>
      </c>
    </row>
    <row r="164" spans="17:40" x14ac:dyDescent="0.3">
      <c r="Q164" s="4">
        <v>45520</v>
      </c>
      <c r="R164">
        <v>3.89</v>
      </c>
      <c r="S164">
        <v>4.5</v>
      </c>
      <c r="T164">
        <v>4.1500000000000004</v>
      </c>
      <c r="V164">
        <v>-0.35999999999999988</v>
      </c>
      <c r="X164" s="4">
        <v>45520</v>
      </c>
      <c r="Y164">
        <v>2.08</v>
      </c>
      <c r="Z164">
        <v>2.35</v>
      </c>
      <c r="AA164">
        <v>2.222</v>
      </c>
      <c r="AC164">
        <v>-0.2399999999999998</v>
      </c>
      <c r="AE164" s="4">
        <v>45520</v>
      </c>
      <c r="AF164">
        <v>1.81</v>
      </c>
      <c r="AG164">
        <v>2.16</v>
      </c>
      <c r="AH164">
        <v>1.8420000000000001</v>
      </c>
      <c r="AJ164">
        <v>-0.1199999999999999</v>
      </c>
      <c r="AL164" s="4">
        <v>45520</v>
      </c>
      <c r="AM164">
        <v>-0.16999999999999951</v>
      </c>
      <c r="AN164">
        <v>0</v>
      </c>
    </row>
    <row r="165" spans="17:40" x14ac:dyDescent="0.3">
      <c r="Q165" s="4">
        <v>45527</v>
      </c>
      <c r="R165">
        <v>3.81</v>
      </c>
      <c r="S165">
        <v>4.5</v>
      </c>
      <c r="T165">
        <v>4.1020000000000003</v>
      </c>
      <c r="V165">
        <v>-0.39000000000000012</v>
      </c>
      <c r="X165" s="4">
        <v>45527</v>
      </c>
      <c r="Y165">
        <v>2.13</v>
      </c>
      <c r="Z165">
        <v>2.35</v>
      </c>
      <c r="AA165">
        <v>2.2200000000000002</v>
      </c>
      <c r="AC165">
        <v>-0.1400000000000001</v>
      </c>
      <c r="AE165" s="4">
        <v>45527</v>
      </c>
      <c r="AF165">
        <v>1.68</v>
      </c>
      <c r="AG165">
        <v>2.16</v>
      </c>
      <c r="AH165">
        <v>1.8320000000000001</v>
      </c>
      <c r="AJ165">
        <v>-0.25</v>
      </c>
      <c r="AL165" s="4">
        <v>45527</v>
      </c>
      <c r="AM165">
        <v>-8.9999999999999858E-2</v>
      </c>
      <c r="AN165">
        <v>0</v>
      </c>
    </row>
    <row r="166" spans="17:40" x14ac:dyDescent="0.3">
      <c r="Q166" s="4">
        <v>45534</v>
      </c>
      <c r="R166">
        <v>3.91</v>
      </c>
      <c r="S166">
        <v>4.5</v>
      </c>
      <c r="T166">
        <v>4.0579999999999998</v>
      </c>
      <c r="V166">
        <v>0.11000000000000031</v>
      </c>
      <c r="X166" s="4">
        <v>45534</v>
      </c>
      <c r="Y166">
        <v>2.15</v>
      </c>
      <c r="Z166">
        <v>2.35</v>
      </c>
      <c r="AA166">
        <v>2.2200000000000002</v>
      </c>
      <c r="AC166">
        <v>0.1099999999999999</v>
      </c>
      <c r="AE166" s="4">
        <v>45534</v>
      </c>
      <c r="AF166">
        <v>1.76</v>
      </c>
      <c r="AG166">
        <v>2.16</v>
      </c>
      <c r="AH166">
        <v>1.8220000000000001</v>
      </c>
      <c r="AJ166">
        <v>0</v>
      </c>
      <c r="AL166" s="4">
        <v>45534</v>
      </c>
      <c r="AM166">
        <v>0</v>
      </c>
      <c r="AN166">
        <v>0</v>
      </c>
    </row>
    <row r="167" spans="17:40" x14ac:dyDescent="0.3">
      <c r="Q167" s="4">
        <v>45541</v>
      </c>
      <c r="R167">
        <v>3.72</v>
      </c>
      <c r="S167">
        <v>4.5</v>
      </c>
      <c r="T167">
        <v>4.0339999999999998</v>
      </c>
      <c r="V167">
        <v>-0.21999999999999981</v>
      </c>
      <c r="X167" s="4">
        <v>45541</v>
      </c>
      <c r="Y167">
        <v>2.0299999999999998</v>
      </c>
      <c r="Z167">
        <v>2.35</v>
      </c>
      <c r="AA167">
        <v>2.2120000000000002</v>
      </c>
      <c r="AC167">
        <v>-7.0000000000000284E-2</v>
      </c>
      <c r="AE167" s="4">
        <v>45541</v>
      </c>
      <c r="AF167">
        <v>1.69</v>
      </c>
      <c r="AG167">
        <v>2.16</v>
      </c>
      <c r="AH167">
        <v>1.8120000000000001</v>
      </c>
      <c r="AJ167">
        <v>-0.15000000000000011</v>
      </c>
      <c r="AL167" s="4">
        <v>45541</v>
      </c>
      <c r="AM167">
        <v>6.0000000000000053E-2</v>
      </c>
      <c r="AN167">
        <v>0</v>
      </c>
    </row>
    <row r="168" spans="17:40" x14ac:dyDescent="0.3">
      <c r="Q168" s="4">
        <v>45548</v>
      </c>
      <c r="R168">
        <v>3.66</v>
      </c>
      <c r="S168">
        <v>4.5</v>
      </c>
      <c r="T168">
        <v>3.9740000000000002</v>
      </c>
      <c r="V168">
        <v>-0.23</v>
      </c>
      <c r="X168" s="4">
        <v>45548</v>
      </c>
      <c r="Y168">
        <v>2.08</v>
      </c>
      <c r="Z168">
        <v>2.35</v>
      </c>
      <c r="AA168">
        <v>2.21</v>
      </c>
      <c r="AC168">
        <v>0</v>
      </c>
      <c r="AE168" s="4">
        <v>45548</v>
      </c>
      <c r="AF168">
        <v>1.58</v>
      </c>
      <c r="AG168">
        <v>2.16</v>
      </c>
      <c r="AH168">
        <v>1.81</v>
      </c>
      <c r="AJ168">
        <v>-0.23</v>
      </c>
      <c r="AL168" s="4">
        <v>45548</v>
      </c>
      <c r="AM168">
        <v>9.0000000000000302E-2</v>
      </c>
      <c r="AN168">
        <v>0</v>
      </c>
    </row>
    <row r="169" spans="17:40" x14ac:dyDescent="0.3">
      <c r="Q169" s="4">
        <v>45555</v>
      </c>
      <c r="R169">
        <v>3.73</v>
      </c>
      <c r="S169">
        <v>4.5</v>
      </c>
      <c r="T169">
        <v>3.944</v>
      </c>
      <c r="V169">
        <v>-8.0000000000000071E-2</v>
      </c>
      <c r="X169" s="4">
        <v>45555</v>
      </c>
      <c r="Y169">
        <v>2.15</v>
      </c>
      <c r="Z169">
        <v>2.3479999999999999</v>
      </c>
      <c r="AA169">
        <v>2.194</v>
      </c>
      <c r="AC169">
        <v>2.0000000000000021E-2</v>
      </c>
      <c r="AE169" s="4">
        <v>45555</v>
      </c>
      <c r="AF169">
        <v>1.58</v>
      </c>
      <c r="AG169">
        <v>2.16</v>
      </c>
      <c r="AH169">
        <v>1.81</v>
      </c>
      <c r="AJ169">
        <v>-9.9999999999999867E-2</v>
      </c>
      <c r="AL169" s="4">
        <v>45555</v>
      </c>
      <c r="AM169">
        <v>0.18000000000000019</v>
      </c>
      <c r="AN169">
        <v>0</v>
      </c>
    </row>
    <row r="170" spans="17:40" x14ac:dyDescent="0.3">
      <c r="Q170" s="4">
        <v>45562</v>
      </c>
      <c r="R170">
        <v>3.75</v>
      </c>
      <c r="S170">
        <v>4.5</v>
      </c>
      <c r="T170">
        <v>3.9159999999999999</v>
      </c>
      <c r="V170">
        <v>-0.16000000000000009</v>
      </c>
      <c r="X170" s="4">
        <v>45562</v>
      </c>
      <c r="Y170">
        <v>2.15</v>
      </c>
      <c r="Z170">
        <v>2.34</v>
      </c>
      <c r="AA170">
        <v>2.1739999999999999</v>
      </c>
      <c r="AC170">
        <v>0</v>
      </c>
      <c r="AE170" s="4">
        <v>45562</v>
      </c>
      <c r="AF170">
        <v>1.6</v>
      </c>
      <c r="AG170">
        <v>2.16</v>
      </c>
      <c r="AH170">
        <v>1.77</v>
      </c>
      <c r="AJ170">
        <v>-0.15999999999999989</v>
      </c>
      <c r="AL170" s="4">
        <v>45562</v>
      </c>
      <c r="AM170">
        <v>0.20000000000000021</v>
      </c>
      <c r="AN170">
        <v>0</v>
      </c>
    </row>
    <row r="171" spans="17:40" x14ac:dyDescent="0.3">
      <c r="Q171" s="4">
        <v>45569</v>
      </c>
      <c r="R171">
        <v>3.98</v>
      </c>
      <c r="S171">
        <v>4.4939999999999998</v>
      </c>
      <c r="T171">
        <v>3.9159999999999999</v>
      </c>
      <c r="V171">
        <v>0.25999999999999979</v>
      </c>
      <c r="X171" s="4">
        <v>45569</v>
      </c>
      <c r="Y171">
        <v>2.23</v>
      </c>
      <c r="Z171">
        <v>2.34</v>
      </c>
      <c r="AA171">
        <v>2.1739999999999999</v>
      </c>
      <c r="AC171">
        <v>0.20000000000000021</v>
      </c>
      <c r="AE171" s="4">
        <v>45569</v>
      </c>
      <c r="AF171">
        <v>1.75</v>
      </c>
      <c r="AG171">
        <v>2.1579999999999999</v>
      </c>
      <c r="AH171">
        <v>1.76</v>
      </c>
      <c r="AJ171">
        <v>6.0000000000000053E-2</v>
      </c>
      <c r="AL171" s="4">
        <v>45569</v>
      </c>
      <c r="AM171">
        <v>4.9999999999999822E-2</v>
      </c>
      <c r="AN171">
        <v>0</v>
      </c>
    </row>
    <row r="172" spans="17:40" x14ac:dyDescent="0.3">
      <c r="Q172" s="4">
        <v>45576</v>
      </c>
      <c r="R172">
        <v>4.08</v>
      </c>
      <c r="S172">
        <v>4.468</v>
      </c>
      <c r="T172">
        <v>3.9159999999999999</v>
      </c>
      <c r="V172">
        <v>0.41999999999999987</v>
      </c>
      <c r="X172" s="4">
        <v>45576</v>
      </c>
      <c r="Y172">
        <v>2.33</v>
      </c>
      <c r="Z172">
        <v>2.34</v>
      </c>
      <c r="AA172">
        <v>2.1739999999999999</v>
      </c>
      <c r="AC172">
        <v>0.25</v>
      </c>
      <c r="AE172" s="4">
        <v>45576</v>
      </c>
      <c r="AF172">
        <v>1.75</v>
      </c>
      <c r="AG172">
        <v>2.1480000000000001</v>
      </c>
      <c r="AH172">
        <v>1.752</v>
      </c>
      <c r="AJ172">
        <v>0.1699999999999999</v>
      </c>
      <c r="AL172" s="4">
        <v>45576</v>
      </c>
      <c r="AM172">
        <v>0.12999999999999989</v>
      </c>
      <c r="AN172">
        <v>0</v>
      </c>
    </row>
    <row r="173" spans="17:40" x14ac:dyDescent="0.3">
      <c r="Q173" s="4">
        <v>45583</v>
      </c>
      <c r="R173">
        <v>4.08</v>
      </c>
      <c r="S173">
        <v>4.4560000000000004</v>
      </c>
      <c r="T173">
        <v>3.9159999999999999</v>
      </c>
      <c r="V173">
        <v>0.35000000000000009</v>
      </c>
      <c r="X173" s="4">
        <v>45583</v>
      </c>
      <c r="Y173">
        <v>2.31</v>
      </c>
      <c r="Z173">
        <v>2.3380000000000001</v>
      </c>
      <c r="AA173">
        <v>2.1739999999999999</v>
      </c>
      <c r="AC173">
        <v>0.16000000000000009</v>
      </c>
      <c r="AE173" s="4">
        <v>45583</v>
      </c>
      <c r="AF173">
        <v>1.77</v>
      </c>
      <c r="AG173">
        <v>2.1379999999999999</v>
      </c>
      <c r="AH173">
        <v>1.752</v>
      </c>
      <c r="AJ173">
        <v>0.18999999999999989</v>
      </c>
      <c r="AL173" s="4">
        <v>45583</v>
      </c>
      <c r="AM173">
        <v>0.12999999999999989</v>
      </c>
      <c r="AN173">
        <v>0</v>
      </c>
    </row>
    <row r="174" spans="17:40" x14ac:dyDescent="0.3">
      <c r="Q174" s="4">
        <v>45590</v>
      </c>
      <c r="R174">
        <v>4.25</v>
      </c>
      <c r="S174">
        <v>4.4380000000000006</v>
      </c>
      <c r="T174">
        <v>3.9159999999999999</v>
      </c>
      <c r="V174">
        <v>0.5</v>
      </c>
      <c r="X174" s="4">
        <v>45590</v>
      </c>
      <c r="Y174">
        <v>2.29</v>
      </c>
      <c r="Z174">
        <v>2.33</v>
      </c>
      <c r="AA174">
        <v>2.1739999999999999</v>
      </c>
      <c r="AC174">
        <v>0.1400000000000001</v>
      </c>
      <c r="AE174" s="4">
        <v>45590</v>
      </c>
      <c r="AF174">
        <v>1.96</v>
      </c>
      <c r="AG174">
        <v>2.1259999999999999</v>
      </c>
      <c r="AH174">
        <v>1.752</v>
      </c>
      <c r="AJ174">
        <v>0.35999999999999988</v>
      </c>
      <c r="AL174" s="4">
        <v>45590</v>
      </c>
      <c r="AM174">
        <v>0.13999999999999971</v>
      </c>
      <c r="AN174">
        <v>0</v>
      </c>
    </row>
    <row r="175" spans="17:40" x14ac:dyDescent="0.3">
      <c r="Q175" s="4">
        <v>45597</v>
      </c>
      <c r="R175">
        <v>4.37</v>
      </c>
      <c r="S175">
        <v>4.4279999999999999</v>
      </c>
      <c r="T175">
        <v>3.9159999999999999</v>
      </c>
      <c r="V175">
        <v>0.39000000000000012</v>
      </c>
      <c r="X175" s="4">
        <v>45597</v>
      </c>
      <c r="Y175">
        <v>2.33</v>
      </c>
      <c r="Z175">
        <v>2.33</v>
      </c>
      <c r="AA175">
        <v>2.1739999999999999</v>
      </c>
      <c r="AC175">
        <v>0.1000000000000001</v>
      </c>
      <c r="AE175" s="4">
        <v>45597</v>
      </c>
      <c r="AF175">
        <v>2.04</v>
      </c>
      <c r="AG175">
        <v>2.1080000000000001</v>
      </c>
      <c r="AH175">
        <v>1.752</v>
      </c>
      <c r="AJ175">
        <v>0.28999999999999998</v>
      </c>
      <c r="AL175" s="4">
        <v>45597</v>
      </c>
      <c r="AM175">
        <v>0.16000000000000009</v>
      </c>
      <c r="AN175">
        <v>0</v>
      </c>
    </row>
    <row r="176" spans="17:40" x14ac:dyDescent="0.3">
      <c r="Q176" s="4">
        <v>45604</v>
      </c>
      <c r="R176">
        <v>4.3</v>
      </c>
      <c r="S176">
        <v>4.4139999999999997</v>
      </c>
      <c r="T176">
        <v>3.9159999999999999</v>
      </c>
      <c r="V176">
        <v>0.21999999999999981</v>
      </c>
      <c r="X176" s="4">
        <v>45604</v>
      </c>
      <c r="Y176">
        <v>2.35</v>
      </c>
      <c r="Z176">
        <v>2.33</v>
      </c>
      <c r="AA176">
        <v>2.1739999999999999</v>
      </c>
      <c r="AC176">
        <v>2.0000000000000021E-2</v>
      </c>
      <c r="AE176" s="4">
        <v>45604</v>
      </c>
      <c r="AF176">
        <v>1.95</v>
      </c>
      <c r="AG176">
        <v>2.0960000000000001</v>
      </c>
      <c r="AH176">
        <v>1.752</v>
      </c>
      <c r="AJ176">
        <v>0.2</v>
      </c>
      <c r="AL176" s="4">
        <v>45604</v>
      </c>
      <c r="AM176">
        <v>4.0000000000000042E-2</v>
      </c>
      <c r="AN176">
        <v>0</v>
      </c>
    </row>
    <row r="177" spans="17:40" x14ac:dyDescent="0.3">
      <c r="Q177" s="4">
        <v>45611</v>
      </c>
      <c r="R177">
        <v>4.43</v>
      </c>
      <c r="S177">
        <v>4.4139999999999997</v>
      </c>
      <c r="T177">
        <v>3.9159999999999999</v>
      </c>
      <c r="V177">
        <v>0.34999999999999959</v>
      </c>
      <c r="X177" s="4">
        <v>45611</v>
      </c>
      <c r="Y177">
        <v>2.33</v>
      </c>
      <c r="Z177">
        <v>2.33</v>
      </c>
      <c r="AA177">
        <v>2.1739999999999999</v>
      </c>
      <c r="AC177">
        <v>2.0000000000000021E-2</v>
      </c>
      <c r="AE177" s="4">
        <v>45611</v>
      </c>
      <c r="AF177">
        <v>2.1</v>
      </c>
      <c r="AG177">
        <v>2.0960000000000001</v>
      </c>
      <c r="AH177">
        <v>1.752</v>
      </c>
      <c r="AJ177">
        <v>0.33000000000000013</v>
      </c>
      <c r="AL177" s="4">
        <v>45611</v>
      </c>
      <c r="AM177">
        <v>0.12000000000000011</v>
      </c>
      <c r="AN177">
        <v>0</v>
      </c>
    </row>
    <row r="178" spans="17:40" x14ac:dyDescent="0.3">
      <c r="Q178" s="4">
        <v>45618</v>
      </c>
      <c r="R178">
        <v>4.41</v>
      </c>
      <c r="S178">
        <v>4.4059999999999997</v>
      </c>
      <c r="T178">
        <v>3.9159999999999999</v>
      </c>
      <c r="V178">
        <v>0.16000000000000009</v>
      </c>
      <c r="X178" s="4">
        <v>45618</v>
      </c>
      <c r="Y178">
        <v>2.34</v>
      </c>
      <c r="Z178">
        <v>2.3380000000000001</v>
      </c>
      <c r="AA178">
        <v>2.1739999999999999</v>
      </c>
      <c r="AC178">
        <v>4.9999999999999822E-2</v>
      </c>
      <c r="AE178" s="4">
        <v>45618</v>
      </c>
      <c r="AF178">
        <v>2.0699999999999998</v>
      </c>
      <c r="AG178">
        <v>2.0779999999999998</v>
      </c>
      <c r="AH178">
        <v>1.752</v>
      </c>
      <c r="AJ178">
        <v>0.1099999999999999</v>
      </c>
      <c r="AL178" s="4">
        <v>45618</v>
      </c>
      <c r="AM178">
        <v>4.0000000000000042E-2</v>
      </c>
      <c r="AN178">
        <v>0</v>
      </c>
    </row>
    <row r="179" spans="17:40" x14ac:dyDescent="0.3">
      <c r="Q179" s="4">
        <v>45625</v>
      </c>
      <c r="R179">
        <v>4.18</v>
      </c>
      <c r="S179">
        <v>4.4059999999999997</v>
      </c>
      <c r="T179">
        <v>3.9159999999999999</v>
      </c>
      <c r="V179">
        <v>-0.19000000000000039</v>
      </c>
      <c r="X179" s="4">
        <v>45625</v>
      </c>
      <c r="Y179">
        <v>2.2599999999999998</v>
      </c>
      <c r="Z179">
        <v>2.3380000000000001</v>
      </c>
      <c r="AA179">
        <v>2.1739999999999999</v>
      </c>
      <c r="AC179">
        <v>-7.0000000000000284E-2</v>
      </c>
      <c r="AE179" s="4">
        <v>45625</v>
      </c>
      <c r="AF179">
        <v>1.92</v>
      </c>
      <c r="AG179">
        <v>2.0779999999999998</v>
      </c>
      <c r="AH179">
        <v>1.752</v>
      </c>
      <c r="AJ179">
        <v>-0.12000000000000011</v>
      </c>
      <c r="AL179" s="4">
        <v>45625</v>
      </c>
      <c r="AM179">
        <v>4.9999999999999822E-2</v>
      </c>
      <c r="AN179">
        <v>0</v>
      </c>
    </row>
    <row r="180" spans="17:40" x14ac:dyDescent="0.3">
      <c r="Q180" s="4">
        <v>45632</v>
      </c>
      <c r="R180">
        <v>4.1500000000000004</v>
      </c>
      <c r="S180">
        <v>4.4059999999999997</v>
      </c>
      <c r="T180">
        <v>3.9159999999999999</v>
      </c>
      <c r="V180">
        <v>-0.14999999999999949</v>
      </c>
      <c r="X180" s="4">
        <v>45632</v>
      </c>
      <c r="Y180">
        <v>2.2400000000000002</v>
      </c>
      <c r="Z180">
        <v>2.3380000000000001</v>
      </c>
      <c r="AA180">
        <v>2.1739999999999999</v>
      </c>
      <c r="AC180">
        <v>-0.1099999999999999</v>
      </c>
      <c r="AE180" s="4">
        <v>45632</v>
      </c>
      <c r="AF180">
        <v>1.91</v>
      </c>
      <c r="AG180">
        <v>2.0779999999999998</v>
      </c>
      <c r="AH180">
        <v>1.752</v>
      </c>
      <c r="AJ180">
        <v>-4.0000000000000042E-2</v>
      </c>
      <c r="AL180" s="4">
        <v>45632</v>
      </c>
      <c r="AM180">
        <v>5.0000000000000711E-2</v>
      </c>
      <c r="AN180">
        <v>0</v>
      </c>
    </row>
    <row r="181" spans="17:40" x14ac:dyDescent="0.3">
      <c r="Q181" s="4">
        <v>45639</v>
      </c>
      <c r="R181">
        <v>4.4000000000000004</v>
      </c>
      <c r="S181">
        <v>4.4080000000000004</v>
      </c>
      <c r="T181">
        <v>3.944</v>
      </c>
      <c r="V181">
        <v>-2.9999999999999361E-2</v>
      </c>
      <c r="X181" s="4">
        <v>45639</v>
      </c>
      <c r="Y181">
        <v>2.33</v>
      </c>
      <c r="Z181">
        <v>2.3380000000000001</v>
      </c>
      <c r="AA181">
        <v>2.1739999999999999</v>
      </c>
      <c r="AC181">
        <v>0</v>
      </c>
      <c r="AE181" s="4">
        <v>45639</v>
      </c>
      <c r="AF181">
        <v>2.0699999999999998</v>
      </c>
      <c r="AG181">
        <v>2.0779999999999998</v>
      </c>
      <c r="AH181">
        <v>1.76</v>
      </c>
      <c r="AJ181">
        <v>-3.0000000000000249E-2</v>
      </c>
      <c r="AL181" s="4">
        <v>45639</v>
      </c>
      <c r="AM181">
        <v>0.15000000000000041</v>
      </c>
      <c r="AN181">
        <v>0</v>
      </c>
    </row>
    <row r="182" spans="17:40" x14ac:dyDescent="0.3">
      <c r="Q182" s="4">
        <v>45646</v>
      </c>
      <c r="R182">
        <v>4.5199999999999996</v>
      </c>
      <c r="S182">
        <v>4.4180000000000001</v>
      </c>
      <c r="T182">
        <v>3.964</v>
      </c>
      <c r="V182">
        <v>0.1099999999999994</v>
      </c>
      <c r="X182" s="4">
        <v>45646</v>
      </c>
      <c r="Y182">
        <v>2.29</v>
      </c>
      <c r="Z182">
        <v>2.3380000000000001</v>
      </c>
      <c r="AA182">
        <v>2.1779999999999999</v>
      </c>
      <c r="AC182">
        <v>-4.9999999999999822E-2</v>
      </c>
      <c r="AE182" s="4">
        <v>45646</v>
      </c>
      <c r="AF182">
        <v>2.23</v>
      </c>
      <c r="AG182">
        <v>2.0960000000000001</v>
      </c>
      <c r="AH182">
        <v>1.762</v>
      </c>
      <c r="AJ182">
        <v>0.16000000000000009</v>
      </c>
      <c r="AL182" s="4">
        <v>45646</v>
      </c>
      <c r="AM182">
        <v>0.21999999999999981</v>
      </c>
      <c r="AN182">
        <v>0</v>
      </c>
    </row>
    <row r="183" spans="17:40" x14ac:dyDescent="0.3">
      <c r="Q183" s="4">
        <v>45653</v>
      </c>
      <c r="R183">
        <v>4.62</v>
      </c>
      <c r="S183">
        <v>4.4279999999999999</v>
      </c>
      <c r="T183">
        <v>3.99</v>
      </c>
      <c r="V183">
        <v>0.44000000000000039</v>
      </c>
      <c r="X183" s="4">
        <v>45653</v>
      </c>
      <c r="Y183">
        <v>2.34</v>
      </c>
      <c r="Z183">
        <v>2.34</v>
      </c>
      <c r="AA183">
        <v>2.2120000000000002</v>
      </c>
      <c r="AC183">
        <v>8.0000000000000071E-2</v>
      </c>
      <c r="AE183" s="4">
        <v>45653</v>
      </c>
      <c r="AF183">
        <v>2.2799999999999998</v>
      </c>
      <c r="AG183">
        <v>2.1</v>
      </c>
      <c r="AH183">
        <v>1.778</v>
      </c>
      <c r="AJ183">
        <v>0.35999999999999988</v>
      </c>
      <c r="AL183" s="4">
        <v>45653</v>
      </c>
      <c r="AM183">
        <v>0.3100000000000005</v>
      </c>
      <c r="AN183">
        <v>0</v>
      </c>
    </row>
    <row r="184" spans="17:40" x14ac:dyDescent="0.3">
      <c r="Q184" s="4">
        <v>45660</v>
      </c>
      <c r="R184">
        <v>4.5999999999999996</v>
      </c>
      <c r="S184">
        <v>4.43</v>
      </c>
      <c r="T184">
        <v>3.99</v>
      </c>
      <c r="V184">
        <v>0.44999999999999929</v>
      </c>
      <c r="X184" s="4">
        <v>45660</v>
      </c>
      <c r="Y184">
        <v>2.34</v>
      </c>
      <c r="Z184">
        <v>2.34</v>
      </c>
      <c r="AA184">
        <v>2.214</v>
      </c>
      <c r="AC184">
        <v>9.9999999999999645E-2</v>
      </c>
      <c r="AE184" s="4">
        <v>45660</v>
      </c>
      <c r="AF184">
        <v>2.2599999999999998</v>
      </c>
      <c r="AG184">
        <v>2.1080000000000001</v>
      </c>
      <c r="AH184">
        <v>1.778</v>
      </c>
      <c r="AJ184">
        <v>0.34999999999999992</v>
      </c>
      <c r="AL184" s="4">
        <v>45660</v>
      </c>
      <c r="AM184">
        <v>0.3199999999999994</v>
      </c>
      <c r="AN184">
        <v>0</v>
      </c>
    </row>
    <row r="185" spans="17:40" x14ac:dyDescent="0.3">
      <c r="Q185" s="4">
        <v>45667</v>
      </c>
      <c r="R185">
        <v>4.7699999999999996</v>
      </c>
      <c r="S185">
        <v>4.4539999999999997</v>
      </c>
      <c r="T185">
        <v>4.04</v>
      </c>
      <c r="V185">
        <v>0.36999999999999922</v>
      </c>
      <c r="X185" s="4">
        <v>45667</v>
      </c>
      <c r="Y185">
        <v>2.4300000000000002</v>
      </c>
      <c r="Z185">
        <v>2.34</v>
      </c>
      <c r="AA185">
        <v>2.214</v>
      </c>
      <c r="AC185">
        <v>0.1000000000000001</v>
      </c>
      <c r="AE185" s="4">
        <v>45667</v>
      </c>
      <c r="AF185">
        <v>2.34</v>
      </c>
      <c r="AG185">
        <v>2.1259999999999999</v>
      </c>
      <c r="AH185">
        <v>1.81</v>
      </c>
      <c r="AJ185">
        <v>0.27</v>
      </c>
      <c r="AL185" s="4">
        <v>45667</v>
      </c>
      <c r="AM185">
        <v>0.36999999999999922</v>
      </c>
      <c r="AN185">
        <v>0</v>
      </c>
    </row>
    <row r="186" spans="17:40" x14ac:dyDescent="0.3">
      <c r="Q186" s="4">
        <v>45674</v>
      </c>
      <c r="R186">
        <v>4.6100000000000003</v>
      </c>
      <c r="S186">
        <v>4.492</v>
      </c>
      <c r="T186">
        <v>4.04</v>
      </c>
      <c r="V186">
        <v>9.0000000000000746E-2</v>
      </c>
      <c r="X186" s="4">
        <v>45674</v>
      </c>
      <c r="Y186">
        <v>2.41</v>
      </c>
      <c r="Z186">
        <v>2.34</v>
      </c>
      <c r="AA186">
        <v>2.214</v>
      </c>
      <c r="AC186">
        <v>0.12000000000000011</v>
      </c>
      <c r="AE186" s="4">
        <v>45674</v>
      </c>
      <c r="AF186">
        <v>2.2000000000000002</v>
      </c>
      <c r="AG186">
        <v>2.1379999999999999</v>
      </c>
      <c r="AH186">
        <v>1.81</v>
      </c>
      <c r="AJ186">
        <v>-2.9999999999999801E-2</v>
      </c>
      <c r="AL186" s="4">
        <v>45674</v>
      </c>
      <c r="AM186">
        <v>0.34000000000000069</v>
      </c>
      <c r="AN186">
        <v>0</v>
      </c>
    </row>
    <row r="187" spans="17:40" x14ac:dyDescent="0.3">
      <c r="Q187" s="4">
        <v>45681</v>
      </c>
      <c r="R187">
        <v>4.63</v>
      </c>
      <c r="S187">
        <v>4.5</v>
      </c>
      <c r="T187">
        <v>4.04</v>
      </c>
      <c r="V187">
        <v>9.9999999999997868E-3</v>
      </c>
      <c r="X187" s="4">
        <v>45681</v>
      </c>
      <c r="Y187">
        <v>2.4300000000000002</v>
      </c>
      <c r="Z187">
        <v>2.3479999999999999</v>
      </c>
      <c r="AA187">
        <v>2.214</v>
      </c>
      <c r="AC187">
        <v>9.0000000000000302E-2</v>
      </c>
      <c r="AE187" s="4">
        <v>45681</v>
      </c>
      <c r="AF187">
        <v>2.2000000000000002</v>
      </c>
      <c r="AG187">
        <v>2.1480000000000001</v>
      </c>
      <c r="AH187">
        <v>1.81</v>
      </c>
      <c r="AJ187">
        <v>-7.9999999999999627E-2</v>
      </c>
      <c r="AL187" s="4">
        <v>45681</v>
      </c>
      <c r="AM187">
        <v>0.36000000000000032</v>
      </c>
      <c r="AN187">
        <v>0</v>
      </c>
    </row>
    <row r="188" spans="17:40" x14ac:dyDescent="0.3">
      <c r="Q188" s="4">
        <v>45688</v>
      </c>
      <c r="R188">
        <v>4.58</v>
      </c>
      <c r="S188">
        <v>4.5</v>
      </c>
      <c r="T188">
        <v>4.08</v>
      </c>
      <c r="V188">
        <v>-1.999999999999957E-2</v>
      </c>
      <c r="X188" s="4">
        <v>45688</v>
      </c>
      <c r="Y188">
        <v>2.42</v>
      </c>
      <c r="Z188">
        <v>2.35</v>
      </c>
      <c r="AA188">
        <v>2.23</v>
      </c>
      <c r="AC188">
        <v>8.0000000000000071E-2</v>
      </c>
      <c r="AE188" s="4">
        <v>45688</v>
      </c>
      <c r="AF188">
        <v>2.16</v>
      </c>
      <c r="AG188">
        <v>2.1579999999999999</v>
      </c>
      <c r="AH188">
        <v>1.81</v>
      </c>
      <c r="AJ188">
        <v>-9.9999999999999645E-2</v>
      </c>
      <c r="AL188" s="4">
        <v>45688</v>
      </c>
      <c r="AM188">
        <v>0.36000000000000032</v>
      </c>
      <c r="AN188">
        <v>0</v>
      </c>
    </row>
    <row r="189" spans="17:40" x14ac:dyDescent="0.3">
      <c r="Q189" s="4">
        <v>45695</v>
      </c>
      <c r="R189">
        <v>4.49</v>
      </c>
      <c r="S189">
        <v>4.5</v>
      </c>
      <c r="T189">
        <v>4.08</v>
      </c>
      <c r="V189">
        <v>-0.27999999999999942</v>
      </c>
      <c r="X189" s="4">
        <v>45695</v>
      </c>
      <c r="Y189">
        <v>2.42</v>
      </c>
      <c r="Z189">
        <v>2.35</v>
      </c>
      <c r="AA189">
        <v>2.23</v>
      </c>
      <c r="AC189">
        <v>-1.0000000000000229E-2</v>
      </c>
      <c r="AE189" s="4">
        <v>45695</v>
      </c>
      <c r="AF189">
        <v>2.0699999999999998</v>
      </c>
      <c r="AG189">
        <v>2.1579999999999999</v>
      </c>
      <c r="AH189">
        <v>1.81</v>
      </c>
      <c r="AJ189">
        <v>-0.27</v>
      </c>
      <c r="AL189" s="4">
        <v>45695</v>
      </c>
      <c r="AM189">
        <v>0.20000000000000021</v>
      </c>
      <c r="AN189">
        <v>0</v>
      </c>
    </row>
    <row r="190" spans="17:40" x14ac:dyDescent="0.3">
      <c r="Q190" s="4">
        <v>45702</v>
      </c>
      <c r="R190">
        <v>4.47</v>
      </c>
      <c r="S190">
        <v>4.5</v>
      </c>
      <c r="T190">
        <v>4.08</v>
      </c>
      <c r="V190">
        <v>-0.1400000000000006</v>
      </c>
      <c r="X190" s="4">
        <v>45702</v>
      </c>
      <c r="Y190">
        <v>2.4300000000000002</v>
      </c>
      <c r="Z190">
        <v>2.35</v>
      </c>
      <c r="AA190">
        <v>2.23</v>
      </c>
      <c r="AC190">
        <v>2.0000000000000021E-2</v>
      </c>
      <c r="AE190" s="4">
        <v>45702</v>
      </c>
      <c r="AF190">
        <v>2.04</v>
      </c>
      <c r="AG190">
        <v>2.1579999999999999</v>
      </c>
      <c r="AH190">
        <v>1.81</v>
      </c>
      <c r="AJ190">
        <v>-0.16000000000000009</v>
      </c>
      <c r="AL190" s="4">
        <v>45702</v>
      </c>
      <c r="AM190">
        <v>0.21</v>
      </c>
      <c r="AN190">
        <v>0</v>
      </c>
    </row>
    <row r="191" spans="17:40" x14ac:dyDescent="0.3">
      <c r="Q191" s="4">
        <v>45709</v>
      </c>
      <c r="R191">
        <v>4.42</v>
      </c>
      <c r="S191">
        <v>4.5</v>
      </c>
      <c r="T191">
        <v>4.08</v>
      </c>
      <c r="V191">
        <v>-0.21</v>
      </c>
      <c r="X191" s="4">
        <v>45709</v>
      </c>
      <c r="Y191">
        <v>2.42</v>
      </c>
      <c r="Z191">
        <v>2.3660000000000001</v>
      </c>
      <c r="AA191">
        <v>2.23</v>
      </c>
      <c r="AC191">
        <v>-1.0000000000000229E-2</v>
      </c>
      <c r="AE191" s="4">
        <v>45709</v>
      </c>
      <c r="AF191">
        <v>2</v>
      </c>
      <c r="AG191">
        <v>2.1579999999999999</v>
      </c>
      <c r="AH191">
        <v>1.81</v>
      </c>
      <c r="AJ191">
        <v>-0.20000000000000021</v>
      </c>
      <c r="AL191" s="4">
        <v>45709</v>
      </c>
      <c r="AM191">
        <v>0.22999999999999951</v>
      </c>
      <c r="AN191">
        <v>0</v>
      </c>
    </row>
    <row r="192" spans="17:40" x14ac:dyDescent="0.3">
      <c r="Q192" s="4">
        <v>45716</v>
      </c>
      <c r="R192">
        <v>4.24</v>
      </c>
      <c r="S192">
        <v>4.5</v>
      </c>
      <c r="T192">
        <v>4.08</v>
      </c>
      <c r="V192">
        <v>-0.33999999999999991</v>
      </c>
      <c r="X192" s="4">
        <v>45716</v>
      </c>
      <c r="Y192">
        <v>2.38</v>
      </c>
      <c r="Z192">
        <v>2.3780000000000001</v>
      </c>
      <c r="AA192">
        <v>2.23</v>
      </c>
      <c r="AC192">
        <v>-4.0000000000000042E-2</v>
      </c>
      <c r="AE192" s="4">
        <v>45716</v>
      </c>
      <c r="AF192">
        <v>1.86</v>
      </c>
      <c r="AG192">
        <v>2.1579999999999999</v>
      </c>
      <c r="AH192">
        <v>1.81</v>
      </c>
      <c r="AJ192">
        <v>-0.3</v>
      </c>
      <c r="AL192" s="4">
        <v>45716</v>
      </c>
      <c r="AM192">
        <v>0.25</v>
      </c>
      <c r="AN192">
        <v>0</v>
      </c>
    </row>
    <row r="193" spans="17:40" x14ac:dyDescent="0.3">
      <c r="Q193" s="4">
        <v>45723</v>
      </c>
      <c r="R193">
        <v>4.32</v>
      </c>
      <c r="S193">
        <v>4.5</v>
      </c>
      <c r="T193">
        <v>4.08</v>
      </c>
      <c r="V193">
        <v>-0.1699999999999999</v>
      </c>
      <c r="X193" s="4">
        <v>45723</v>
      </c>
      <c r="Y193">
        <v>2.33</v>
      </c>
      <c r="Z193">
        <v>2.3780000000000001</v>
      </c>
      <c r="AA193">
        <v>2.23</v>
      </c>
      <c r="AC193">
        <v>-8.9999999999999858E-2</v>
      </c>
      <c r="AE193" s="4">
        <v>45723</v>
      </c>
      <c r="AF193">
        <v>1.99</v>
      </c>
      <c r="AG193">
        <v>2.1579999999999999</v>
      </c>
      <c r="AH193">
        <v>1.8160000000000001</v>
      </c>
      <c r="AJ193">
        <v>-7.9999999999999849E-2</v>
      </c>
      <c r="AL193" s="4">
        <v>45723</v>
      </c>
      <c r="AM193">
        <v>0.33000000000000013</v>
      </c>
      <c r="AN193">
        <v>0</v>
      </c>
    </row>
    <row r="194" spans="17:40" x14ac:dyDescent="0.3">
      <c r="Q194" s="4">
        <v>45730</v>
      </c>
      <c r="R194">
        <v>4.3099999999999996</v>
      </c>
      <c r="S194">
        <v>4.5</v>
      </c>
      <c r="T194">
        <v>4.08</v>
      </c>
      <c r="V194">
        <v>-0.16000000000000009</v>
      </c>
      <c r="X194" s="4">
        <v>45730</v>
      </c>
      <c r="Y194">
        <v>2.2999999999999998</v>
      </c>
      <c r="Z194">
        <v>2.3780000000000001</v>
      </c>
      <c r="AA194">
        <v>2.23</v>
      </c>
      <c r="AC194">
        <v>-0.13000000000000031</v>
      </c>
      <c r="AE194" s="4">
        <v>45730</v>
      </c>
      <c r="AF194">
        <v>2.0099999999999998</v>
      </c>
      <c r="AG194">
        <v>2.1579999999999999</v>
      </c>
      <c r="AH194">
        <v>1.8160000000000001</v>
      </c>
      <c r="AJ194">
        <v>-3.0000000000000249E-2</v>
      </c>
      <c r="AL194" s="4">
        <v>45730</v>
      </c>
      <c r="AM194">
        <v>0.28999999999999998</v>
      </c>
      <c r="AN194">
        <v>0</v>
      </c>
    </row>
    <row r="195" spans="17:40" x14ac:dyDescent="0.3">
      <c r="Q195" s="4">
        <v>45737</v>
      </c>
      <c r="R195">
        <v>4.25</v>
      </c>
      <c r="S195">
        <v>4.5</v>
      </c>
      <c r="T195">
        <v>4.08</v>
      </c>
      <c r="V195">
        <v>-0.1699999999999999</v>
      </c>
      <c r="X195" s="4">
        <v>45737</v>
      </c>
      <c r="Y195">
        <v>2.33</v>
      </c>
      <c r="Z195">
        <v>2.3780000000000001</v>
      </c>
      <c r="AA195">
        <v>2.23</v>
      </c>
      <c r="AC195">
        <v>-8.9999999999999858E-2</v>
      </c>
      <c r="AE195" s="4">
        <v>45737</v>
      </c>
      <c r="AF195">
        <v>1.92</v>
      </c>
      <c r="AG195">
        <v>2.1579999999999999</v>
      </c>
      <c r="AH195">
        <v>1.8160000000000001</v>
      </c>
      <c r="AJ195">
        <v>-8.0000000000000071E-2</v>
      </c>
      <c r="AL195" s="4">
        <v>45737</v>
      </c>
      <c r="AM195">
        <v>0.31000000000000011</v>
      </c>
      <c r="AN195">
        <v>0</v>
      </c>
    </row>
    <row r="196" spans="17:40" x14ac:dyDescent="0.3">
      <c r="Q196" s="4">
        <v>45744</v>
      </c>
      <c r="R196">
        <v>4.2699999999999996</v>
      </c>
      <c r="S196">
        <v>4.5</v>
      </c>
      <c r="T196">
        <v>4.08</v>
      </c>
      <c r="V196">
        <v>2.9999999999999361E-2</v>
      </c>
      <c r="X196" s="4">
        <v>45744</v>
      </c>
      <c r="Y196">
        <v>2.37</v>
      </c>
      <c r="Z196">
        <v>2.3780000000000001</v>
      </c>
      <c r="AA196">
        <v>2.23</v>
      </c>
      <c r="AC196">
        <v>-9.9999999999997868E-3</v>
      </c>
      <c r="AE196" s="4">
        <v>45744</v>
      </c>
      <c r="AF196">
        <v>1.9</v>
      </c>
      <c r="AG196">
        <v>2.1579999999999999</v>
      </c>
      <c r="AH196">
        <v>1.8160000000000001</v>
      </c>
      <c r="AJ196">
        <v>3.9999999999999807E-2</v>
      </c>
      <c r="AL196" s="4">
        <v>45744</v>
      </c>
      <c r="AM196">
        <v>0.37999999999999939</v>
      </c>
      <c r="AN196">
        <v>0</v>
      </c>
    </row>
    <row r="197" spans="17:40" x14ac:dyDescent="0.3">
      <c r="Q197" s="4">
        <v>45751</v>
      </c>
      <c r="R197">
        <v>4.01</v>
      </c>
      <c r="S197">
        <v>4.5</v>
      </c>
      <c r="T197">
        <v>4.024</v>
      </c>
      <c r="V197">
        <v>-0.3100000000000005</v>
      </c>
      <c r="X197" s="4">
        <v>45751</v>
      </c>
      <c r="Y197">
        <v>2.1800000000000002</v>
      </c>
      <c r="Z197">
        <v>2.3780000000000001</v>
      </c>
      <c r="AA197">
        <v>2.19</v>
      </c>
      <c r="AC197">
        <v>-0.14999999999999991</v>
      </c>
      <c r="AE197" s="4">
        <v>45751</v>
      </c>
      <c r="AF197">
        <v>1.83</v>
      </c>
      <c r="AG197">
        <v>2.1579999999999999</v>
      </c>
      <c r="AH197">
        <v>1.8140000000000001</v>
      </c>
      <c r="AJ197">
        <v>-0.15999999999999989</v>
      </c>
      <c r="AL197" s="4">
        <v>45751</v>
      </c>
      <c r="AM197">
        <v>0.32999999999999963</v>
      </c>
      <c r="AN197">
        <v>0</v>
      </c>
    </row>
    <row r="198" spans="17:40" x14ac:dyDescent="0.3">
      <c r="Q198" s="4">
        <v>45758</v>
      </c>
      <c r="R198">
        <v>4.4800000000000004</v>
      </c>
      <c r="S198">
        <v>4.5</v>
      </c>
      <c r="T198">
        <v>4.024</v>
      </c>
      <c r="V198">
        <v>0.17000000000000079</v>
      </c>
      <c r="X198" s="4">
        <v>45758</v>
      </c>
      <c r="Y198">
        <v>2.2000000000000002</v>
      </c>
      <c r="Z198">
        <v>2.3660000000000001</v>
      </c>
      <c r="AA198">
        <v>2.1840000000000002</v>
      </c>
      <c r="AC198">
        <v>-9.9999999999999645E-2</v>
      </c>
      <c r="AE198" s="4">
        <v>45758</v>
      </c>
      <c r="AF198">
        <v>2.2799999999999998</v>
      </c>
      <c r="AG198">
        <v>2.16</v>
      </c>
      <c r="AH198">
        <v>1.8140000000000001</v>
      </c>
      <c r="AJ198">
        <v>0.27</v>
      </c>
      <c r="AL198" s="4">
        <v>45758</v>
      </c>
      <c r="AM198">
        <v>0.52000000000000046</v>
      </c>
      <c r="AN198">
        <v>0</v>
      </c>
    </row>
    <row r="199" spans="17:40" x14ac:dyDescent="0.3">
      <c r="Q199" s="4">
        <v>45765</v>
      </c>
      <c r="R199">
        <v>4.34</v>
      </c>
      <c r="S199">
        <v>4.4980000000000002</v>
      </c>
      <c r="T199">
        <v>4.024</v>
      </c>
      <c r="V199">
        <v>8.9999999999999858E-2</v>
      </c>
      <c r="X199" s="4">
        <v>45765</v>
      </c>
      <c r="Y199">
        <v>2.23</v>
      </c>
      <c r="Z199">
        <v>2.35</v>
      </c>
      <c r="AA199">
        <v>2.1840000000000002</v>
      </c>
      <c r="AC199">
        <v>-0.1000000000000001</v>
      </c>
      <c r="AE199" s="4">
        <v>45765</v>
      </c>
      <c r="AF199">
        <v>2.11</v>
      </c>
      <c r="AG199">
        <v>2.1579999999999999</v>
      </c>
      <c r="AH199">
        <v>1.8140000000000001</v>
      </c>
      <c r="AJ199">
        <v>0.18999999999999989</v>
      </c>
      <c r="AL199" s="4">
        <v>45765</v>
      </c>
      <c r="AM199">
        <v>0.5299999999999998</v>
      </c>
      <c r="AN199">
        <v>0</v>
      </c>
    </row>
    <row r="200" spans="17:40" x14ac:dyDescent="0.3">
      <c r="Q200" s="4">
        <v>45772</v>
      </c>
      <c r="R200">
        <v>4.29</v>
      </c>
      <c r="S200">
        <v>4.4880000000000004</v>
      </c>
      <c r="T200">
        <v>4.024</v>
      </c>
      <c r="V200">
        <v>2.0000000000000458E-2</v>
      </c>
      <c r="X200" s="4">
        <v>45772</v>
      </c>
      <c r="Y200">
        <v>2.27</v>
      </c>
      <c r="Z200">
        <v>2.35</v>
      </c>
      <c r="AA200">
        <v>2.1840000000000002</v>
      </c>
      <c r="AC200">
        <v>-0.1000000000000001</v>
      </c>
      <c r="AE200" s="4">
        <v>45772</v>
      </c>
      <c r="AF200">
        <v>2.02</v>
      </c>
      <c r="AG200">
        <v>2.1480000000000001</v>
      </c>
      <c r="AH200">
        <v>1.8140000000000001</v>
      </c>
      <c r="AJ200">
        <v>0.12000000000000011</v>
      </c>
      <c r="AL200" s="4">
        <v>45772</v>
      </c>
      <c r="AM200">
        <v>0.54999999999999982</v>
      </c>
      <c r="AN200">
        <v>0</v>
      </c>
    </row>
    <row r="201" spans="17:40" x14ac:dyDescent="0.3">
      <c r="Q201" s="4">
        <v>45779</v>
      </c>
      <c r="R201">
        <v>4.33</v>
      </c>
      <c r="S201">
        <v>4.4780000000000006</v>
      </c>
      <c r="T201">
        <v>4.024</v>
      </c>
      <c r="V201">
        <v>0.32000000000000028</v>
      </c>
      <c r="X201" s="4">
        <v>45779</v>
      </c>
      <c r="Y201">
        <v>2.27</v>
      </c>
      <c r="Z201">
        <v>2.3479999999999999</v>
      </c>
      <c r="AA201">
        <v>2.1840000000000002</v>
      </c>
      <c r="AC201">
        <v>8.9999999999999858E-2</v>
      </c>
      <c r="AE201" s="4">
        <v>45779</v>
      </c>
      <c r="AF201">
        <v>2.06</v>
      </c>
      <c r="AG201">
        <v>2.1379999999999999</v>
      </c>
      <c r="AH201">
        <v>1.8140000000000001</v>
      </c>
      <c r="AJ201">
        <v>0.23</v>
      </c>
      <c r="AL201" s="4">
        <v>45779</v>
      </c>
      <c r="AM201">
        <v>0.5</v>
      </c>
      <c r="AN201">
        <v>0</v>
      </c>
    </row>
    <row r="202" spans="17:40" x14ac:dyDescent="0.3">
      <c r="Q202" s="4">
        <v>45786</v>
      </c>
      <c r="R202">
        <v>4.37</v>
      </c>
      <c r="S202">
        <v>4.468</v>
      </c>
      <c r="T202">
        <v>4.024</v>
      </c>
      <c r="V202">
        <v>-0.11000000000000031</v>
      </c>
      <c r="X202" s="4">
        <v>45786</v>
      </c>
      <c r="Y202">
        <v>2.29</v>
      </c>
      <c r="Z202">
        <v>2.3479999999999999</v>
      </c>
      <c r="AA202">
        <v>2.1840000000000002</v>
      </c>
      <c r="AC202">
        <v>8.9999999999999858E-2</v>
      </c>
      <c r="AE202" s="4">
        <v>45786</v>
      </c>
      <c r="AF202">
        <v>2.08</v>
      </c>
      <c r="AG202">
        <v>2.1259999999999999</v>
      </c>
      <c r="AH202">
        <v>1.8140000000000001</v>
      </c>
      <c r="AJ202">
        <v>-0.19999999999999971</v>
      </c>
      <c r="AL202" s="4">
        <v>45786</v>
      </c>
      <c r="AM202">
        <v>0.49000000000000021</v>
      </c>
      <c r="AN202">
        <v>0</v>
      </c>
    </row>
    <row r="203" spans="17:40" x14ac:dyDescent="0.3">
      <c r="Q203" s="4">
        <v>45793</v>
      </c>
      <c r="R203">
        <v>4.43</v>
      </c>
      <c r="S203">
        <v>4.468</v>
      </c>
      <c r="T203">
        <v>4.024</v>
      </c>
      <c r="V203">
        <v>8.9999999999999858E-2</v>
      </c>
      <c r="X203" s="4">
        <v>45793</v>
      </c>
      <c r="Y203">
        <v>2.34</v>
      </c>
      <c r="Z203">
        <v>2.3479999999999999</v>
      </c>
      <c r="AA203">
        <v>2.1840000000000002</v>
      </c>
      <c r="AC203">
        <v>0.1099999999999999</v>
      </c>
      <c r="AE203" s="4">
        <v>45793</v>
      </c>
      <c r="AF203">
        <v>2.09</v>
      </c>
      <c r="AG203">
        <v>2.1259999999999999</v>
      </c>
      <c r="AH203">
        <v>1.8140000000000001</v>
      </c>
      <c r="AJ203">
        <v>-2.0000000000000021E-2</v>
      </c>
      <c r="AL203" s="4">
        <v>45793</v>
      </c>
      <c r="AM203">
        <v>0.44999999999999968</v>
      </c>
      <c r="AN203">
        <v>0</v>
      </c>
    </row>
    <row r="204" spans="17:40" x14ac:dyDescent="0.3">
      <c r="Q204" s="4">
        <v>45800</v>
      </c>
      <c r="R204">
        <v>4.51</v>
      </c>
      <c r="S204">
        <v>4.4780000000000006</v>
      </c>
      <c r="T204">
        <v>4.024</v>
      </c>
      <c r="V204">
        <v>0.21999999999999981</v>
      </c>
      <c r="X204" s="4">
        <v>45800</v>
      </c>
      <c r="Y204">
        <v>2.33</v>
      </c>
      <c r="Z204">
        <v>2.3479999999999999</v>
      </c>
      <c r="AA204">
        <v>2.1840000000000002</v>
      </c>
      <c r="AC204">
        <v>6.0000000000000053E-2</v>
      </c>
      <c r="AE204" s="4">
        <v>45800</v>
      </c>
      <c r="AF204">
        <v>2.1800000000000002</v>
      </c>
      <c r="AG204">
        <v>2.1259999999999999</v>
      </c>
      <c r="AH204">
        <v>1.8140000000000001</v>
      </c>
      <c r="AJ204">
        <v>0.16000000000000009</v>
      </c>
      <c r="AL204" s="4">
        <v>45800</v>
      </c>
      <c r="AM204">
        <v>0.50999999999999979</v>
      </c>
      <c r="AN204">
        <v>0</v>
      </c>
    </row>
    <row r="205" spans="17:40" x14ac:dyDescent="0.3">
      <c r="Q205" s="4">
        <v>45807</v>
      </c>
      <c r="R205">
        <v>4.41</v>
      </c>
      <c r="S205">
        <v>4.4619999999999997</v>
      </c>
      <c r="T205">
        <v>4.024</v>
      </c>
      <c r="V205">
        <v>8.0000000000000071E-2</v>
      </c>
      <c r="X205" s="4">
        <v>45807</v>
      </c>
      <c r="Y205">
        <v>2.34</v>
      </c>
      <c r="Z205">
        <v>2.34</v>
      </c>
      <c r="AA205">
        <v>2.1840000000000002</v>
      </c>
      <c r="AC205">
        <v>6.999999999999984E-2</v>
      </c>
      <c r="AE205" s="4">
        <v>45807</v>
      </c>
      <c r="AF205">
        <v>2.0699999999999998</v>
      </c>
      <c r="AG205">
        <v>2.1080000000000001</v>
      </c>
      <c r="AH205">
        <v>1.8140000000000001</v>
      </c>
      <c r="AJ205">
        <v>9.9999999999997868E-3</v>
      </c>
      <c r="AL205" s="4">
        <v>45807</v>
      </c>
      <c r="AM205">
        <v>0.52</v>
      </c>
      <c r="AN205">
        <v>0</v>
      </c>
    </row>
    <row r="206" spans="17:40" x14ac:dyDescent="0.3">
      <c r="Q206" s="4">
        <v>45814</v>
      </c>
      <c r="R206">
        <v>4.51</v>
      </c>
      <c r="S206">
        <v>4.4780000000000006</v>
      </c>
      <c r="T206">
        <v>4.024</v>
      </c>
      <c r="V206">
        <v>0.13999999999999971</v>
      </c>
      <c r="X206" s="4">
        <v>45814</v>
      </c>
      <c r="Y206">
        <v>2.31</v>
      </c>
      <c r="Z206">
        <v>2.34</v>
      </c>
      <c r="AA206">
        <v>2.1840000000000002</v>
      </c>
      <c r="AC206">
        <v>2.0000000000000021E-2</v>
      </c>
      <c r="AE206" s="4">
        <v>45814</v>
      </c>
      <c r="AF206">
        <v>2.2000000000000002</v>
      </c>
      <c r="AG206">
        <v>2.1080000000000001</v>
      </c>
      <c r="AH206">
        <v>1.8140000000000001</v>
      </c>
      <c r="AJ206">
        <v>0.12000000000000011</v>
      </c>
      <c r="AL206" s="4">
        <v>45814</v>
      </c>
      <c r="AM206">
        <v>0.46999999999999981</v>
      </c>
      <c r="AN206">
        <v>0</v>
      </c>
    </row>
    <row r="207" spans="17:40" x14ac:dyDescent="0.3">
      <c r="Q207" s="4">
        <v>45821</v>
      </c>
      <c r="R207">
        <v>4.41</v>
      </c>
      <c r="S207">
        <v>4.4780000000000006</v>
      </c>
      <c r="T207">
        <v>4.024</v>
      </c>
      <c r="V207">
        <v>-1.999999999999957E-2</v>
      </c>
      <c r="X207" s="4">
        <v>45821</v>
      </c>
      <c r="Y207">
        <v>2.2799999999999998</v>
      </c>
      <c r="Z207">
        <v>2.34</v>
      </c>
      <c r="AA207">
        <v>2.206</v>
      </c>
      <c r="AC207">
        <v>-6.0000000000000053E-2</v>
      </c>
      <c r="AE207" s="4">
        <v>45821</v>
      </c>
      <c r="AF207">
        <v>2.13</v>
      </c>
      <c r="AG207">
        <v>2.1259999999999999</v>
      </c>
      <c r="AH207">
        <v>1.8140000000000001</v>
      </c>
      <c r="AJ207">
        <v>4.0000000000000042E-2</v>
      </c>
      <c r="AL207" s="4">
        <v>45821</v>
      </c>
      <c r="AM207">
        <v>0.45000000000000018</v>
      </c>
      <c r="AN207">
        <v>0</v>
      </c>
    </row>
    <row r="208" spans="17:40" x14ac:dyDescent="0.3">
      <c r="Q208" s="4">
        <v>45828</v>
      </c>
      <c r="R208">
        <v>4.38</v>
      </c>
      <c r="S208">
        <v>4.4780000000000006</v>
      </c>
      <c r="T208">
        <v>4.024</v>
      </c>
      <c r="V208">
        <v>-0.12999999999999989</v>
      </c>
      <c r="X208" s="4">
        <v>45828</v>
      </c>
      <c r="Y208">
        <v>2.33</v>
      </c>
      <c r="Z208">
        <v>2.34</v>
      </c>
      <c r="AA208">
        <v>2.206</v>
      </c>
      <c r="AC208">
        <v>0</v>
      </c>
      <c r="AE208" s="4">
        <v>45828</v>
      </c>
      <c r="AF208">
        <v>2.0499999999999998</v>
      </c>
      <c r="AG208">
        <v>2.1259999999999999</v>
      </c>
      <c r="AH208">
        <v>1.8140000000000001</v>
      </c>
      <c r="AJ208">
        <v>-0.13000000000000031</v>
      </c>
      <c r="AL208" s="4">
        <v>45828</v>
      </c>
      <c r="AM208">
        <v>0.48</v>
      </c>
      <c r="AN208">
        <v>0</v>
      </c>
    </row>
    <row r="209" spans="17:40" x14ac:dyDescent="0.3">
      <c r="Q209" s="4">
        <v>45835</v>
      </c>
      <c r="R209">
        <v>4.29</v>
      </c>
      <c r="S209">
        <v>4.4780000000000006</v>
      </c>
      <c r="T209">
        <v>4.024</v>
      </c>
      <c r="V209">
        <v>-0.12000000000000011</v>
      </c>
      <c r="X209" s="4">
        <v>45835</v>
      </c>
      <c r="Y209">
        <v>2.29</v>
      </c>
      <c r="Z209">
        <v>2.34</v>
      </c>
      <c r="AA209">
        <v>2.206</v>
      </c>
      <c r="AC209">
        <v>-4.9999999999999822E-2</v>
      </c>
      <c r="AE209" s="4">
        <v>45835</v>
      </c>
      <c r="AF209">
        <v>2</v>
      </c>
      <c r="AG209">
        <v>2.1259999999999999</v>
      </c>
      <c r="AH209">
        <v>1.8140000000000001</v>
      </c>
      <c r="AJ209">
        <v>-6.999999999999984E-2</v>
      </c>
      <c r="AL209" s="4">
        <v>45835</v>
      </c>
      <c r="AM209">
        <v>0.56000000000000005</v>
      </c>
      <c r="AN209">
        <v>0</v>
      </c>
    </row>
    <row r="210" spans="17:40" x14ac:dyDescent="0.3">
      <c r="Q210" s="4">
        <v>45842</v>
      </c>
      <c r="R210">
        <v>4.3499999999999996</v>
      </c>
      <c r="S210">
        <v>4.4780000000000006</v>
      </c>
      <c r="T210">
        <v>4.024</v>
      </c>
      <c r="V210">
        <v>-0.16000000000000009</v>
      </c>
      <c r="X210" s="4">
        <v>45842</v>
      </c>
      <c r="Y210">
        <v>2.33</v>
      </c>
      <c r="Z210">
        <v>2.34</v>
      </c>
      <c r="AA210">
        <v>2.206</v>
      </c>
      <c r="AC210">
        <v>2.0000000000000021E-2</v>
      </c>
      <c r="AE210" s="4">
        <v>45842</v>
      </c>
      <c r="AF210">
        <v>2.02</v>
      </c>
      <c r="AG210">
        <v>2.1259999999999999</v>
      </c>
      <c r="AH210">
        <v>1.8140000000000001</v>
      </c>
      <c r="AJ210">
        <v>-0.18000000000000019</v>
      </c>
      <c r="AL210" s="4">
        <v>45842</v>
      </c>
      <c r="AM210">
        <v>0.46999999999999981</v>
      </c>
      <c r="AN210">
        <v>0</v>
      </c>
    </row>
    <row r="211" spans="17:40" x14ac:dyDescent="0.3">
      <c r="Q211" s="4">
        <v>45849</v>
      </c>
      <c r="R211">
        <v>4.43</v>
      </c>
      <c r="S211">
        <v>4.4780000000000006</v>
      </c>
      <c r="T211">
        <v>4.024</v>
      </c>
      <c r="V211">
        <v>1.999999999999957E-2</v>
      </c>
      <c r="X211" s="4">
        <v>45849</v>
      </c>
      <c r="Y211">
        <v>2.37</v>
      </c>
      <c r="Z211">
        <v>2.3479999999999999</v>
      </c>
      <c r="AA211">
        <v>2.206</v>
      </c>
      <c r="AC211">
        <v>9.0000000000000302E-2</v>
      </c>
      <c r="AE211" s="4">
        <v>45849</v>
      </c>
      <c r="AF211">
        <v>2.06</v>
      </c>
      <c r="AG211">
        <v>2.1259999999999999</v>
      </c>
      <c r="AH211">
        <v>1.8140000000000001</v>
      </c>
      <c r="AJ211">
        <v>-6.999999999999984E-2</v>
      </c>
      <c r="AL211" s="4">
        <v>45849</v>
      </c>
      <c r="AM211">
        <v>0.5299999999999998</v>
      </c>
      <c r="AN211">
        <v>0</v>
      </c>
    </row>
    <row r="212" spans="17:40" x14ac:dyDescent="0.3">
      <c r="Q212" s="4">
        <v>45856</v>
      </c>
      <c r="R212">
        <v>4.4400000000000004</v>
      </c>
      <c r="S212">
        <v>4.4780000000000006</v>
      </c>
      <c r="T212">
        <v>4.024</v>
      </c>
      <c r="V212">
        <v>6.0000000000000497E-2</v>
      </c>
      <c r="X212" s="4">
        <v>45856</v>
      </c>
      <c r="Y212">
        <v>2.41</v>
      </c>
      <c r="Z212">
        <v>2.3660000000000001</v>
      </c>
      <c r="AA212">
        <v>2.206</v>
      </c>
      <c r="AC212">
        <v>8.0000000000000071E-2</v>
      </c>
      <c r="AE212" s="4">
        <v>45856</v>
      </c>
      <c r="AF212">
        <v>2.0299999999999998</v>
      </c>
      <c r="AG212">
        <v>2.1259999999999999</v>
      </c>
      <c r="AH212">
        <v>1.8140000000000001</v>
      </c>
      <c r="AJ212">
        <v>-2.0000000000000021E-2</v>
      </c>
      <c r="AL212" s="4">
        <v>45856</v>
      </c>
      <c r="AM212">
        <v>0.5600000000000005</v>
      </c>
      <c r="AN212">
        <v>0</v>
      </c>
    </row>
    <row r="213" spans="17:40" x14ac:dyDescent="0.3">
      <c r="Q213" s="4">
        <v>45863</v>
      </c>
      <c r="R213">
        <v>4.4000000000000004</v>
      </c>
      <c r="S213">
        <v>4.4780000000000006</v>
      </c>
      <c r="T213">
        <v>4.024</v>
      </c>
      <c r="V213">
        <v>0.11000000000000031</v>
      </c>
      <c r="X213" s="4">
        <v>45863</v>
      </c>
      <c r="Y213">
        <v>2.44</v>
      </c>
      <c r="Z213">
        <v>2.37</v>
      </c>
      <c r="AA213">
        <v>2.206</v>
      </c>
      <c r="AC213">
        <v>0.14999999999999991</v>
      </c>
      <c r="AE213" s="4">
        <v>45863</v>
      </c>
      <c r="AF213">
        <v>1.96</v>
      </c>
      <c r="AG213">
        <v>2.1259999999999999</v>
      </c>
      <c r="AH213">
        <v>1.8140000000000001</v>
      </c>
      <c r="AJ213">
        <v>-4.0000000000000042E-2</v>
      </c>
      <c r="AL213" s="4">
        <v>45863</v>
      </c>
      <c r="AM213">
        <v>0.49000000000000021</v>
      </c>
      <c r="AN213">
        <v>0</v>
      </c>
    </row>
    <row r="214" spans="17:40" x14ac:dyDescent="0.3">
      <c r="Q214" s="4">
        <v>45870</v>
      </c>
      <c r="R214">
        <v>4.2300000000000004</v>
      </c>
      <c r="S214">
        <v>4.4780000000000006</v>
      </c>
      <c r="T214">
        <v>4.08</v>
      </c>
      <c r="V214">
        <v>-0.1199999999999992</v>
      </c>
      <c r="X214" s="4">
        <v>45870</v>
      </c>
      <c r="Y214">
        <v>2.33</v>
      </c>
      <c r="Z214">
        <v>2.37</v>
      </c>
      <c r="AA214">
        <v>2.23</v>
      </c>
      <c r="AC214">
        <v>0</v>
      </c>
      <c r="AE214" s="4">
        <v>45870</v>
      </c>
      <c r="AF214">
        <v>1.9</v>
      </c>
      <c r="AG214">
        <v>2.1259999999999999</v>
      </c>
      <c r="AH214">
        <v>1.8320000000000001</v>
      </c>
      <c r="AJ214">
        <v>-0.12000000000000011</v>
      </c>
      <c r="AL214" s="4">
        <v>45870</v>
      </c>
      <c r="AM214">
        <v>0.54000000000000048</v>
      </c>
      <c r="AN214">
        <v>0</v>
      </c>
    </row>
    <row r="215" spans="17:40" x14ac:dyDescent="0.3">
      <c r="Q215" s="4">
        <v>45877</v>
      </c>
      <c r="R215">
        <v>4.2699999999999996</v>
      </c>
      <c r="S215">
        <v>4.4780000000000006</v>
      </c>
      <c r="T215">
        <v>4.0940000000000003</v>
      </c>
      <c r="V215">
        <v>-0.16000000000000009</v>
      </c>
      <c r="X215" s="4">
        <v>45877</v>
      </c>
      <c r="Y215">
        <v>2.39</v>
      </c>
      <c r="Z215">
        <v>2.3780000000000001</v>
      </c>
      <c r="AA215">
        <v>2.2320000000000002</v>
      </c>
      <c r="AC215">
        <v>2.0000000000000021E-2</v>
      </c>
      <c r="AE215" s="4">
        <v>45877</v>
      </c>
      <c r="AF215">
        <v>1.88</v>
      </c>
      <c r="AG215">
        <v>2.1259999999999999</v>
      </c>
      <c r="AH215">
        <v>1.8360000000000001</v>
      </c>
      <c r="AJ215">
        <v>-0.18000000000000019</v>
      </c>
      <c r="AL215" s="4">
        <v>45877</v>
      </c>
      <c r="AM215">
        <v>0.50999999999999979</v>
      </c>
      <c r="AN215">
        <v>0</v>
      </c>
    </row>
    <row r="216" spans="17:40" x14ac:dyDescent="0.3">
      <c r="Q216" s="4">
        <v>45884</v>
      </c>
      <c r="R216">
        <v>4.33</v>
      </c>
      <c r="S216">
        <v>4.4780000000000006</v>
      </c>
      <c r="T216">
        <v>4.1560000000000006</v>
      </c>
      <c r="V216">
        <v>-0.11000000000000031</v>
      </c>
      <c r="X216" s="4">
        <v>45884</v>
      </c>
      <c r="Y216">
        <v>2.38</v>
      </c>
      <c r="Z216">
        <v>2.38</v>
      </c>
      <c r="AA216">
        <v>2.2440000000000002</v>
      </c>
      <c r="AC216">
        <v>-3.0000000000000249E-2</v>
      </c>
      <c r="AE216" s="4">
        <v>45884</v>
      </c>
      <c r="AF216">
        <v>1.95</v>
      </c>
      <c r="AG216">
        <v>2.1259999999999999</v>
      </c>
      <c r="AH216">
        <v>1.8640000000000001</v>
      </c>
      <c r="AJ216">
        <v>-7.9999999999999849E-2</v>
      </c>
      <c r="AL216" s="4">
        <v>45884</v>
      </c>
      <c r="AM216">
        <v>0.58000000000000007</v>
      </c>
      <c r="AN216">
        <v>0</v>
      </c>
    </row>
    <row r="217" spans="17:40" x14ac:dyDescent="0.3">
      <c r="Q217" s="4">
        <v>45891</v>
      </c>
      <c r="R217">
        <v>4.26</v>
      </c>
      <c r="S217">
        <v>4.4780000000000006</v>
      </c>
      <c r="T217">
        <v>4.1900000000000004</v>
      </c>
      <c r="V217">
        <v>-0.1400000000000006</v>
      </c>
      <c r="X217" s="4">
        <v>45891</v>
      </c>
      <c r="Y217">
        <v>2.41</v>
      </c>
      <c r="Z217">
        <v>2.3879999999999999</v>
      </c>
      <c r="AA217">
        <v>2.262</v>
      </c>
      <c r="AC217">
        <v>-2.9999999999999801E-2</v>
      </c>
      <c r="AE217" s="4">
        <v>45891</v>
      </c>
      <c r="AF217">
        <v>1.85</v>
      </c>
      <c r="AG217">
        <v>2.1259999999999999</v>
      </c>
      <c r="AH217">
        <v>1.8640000000000001</v>
      </c>
      <c r="AJ217">
        <v>-0.1099999999999999</v>
      </c>
      <c r="AL217" s="4">
        <v>45891</v>
      </c>
      <c r="AM217">
        <v>0.57999999999999963</v>
      </c>
      <c r="AN217">
        <v>0</v>
      </c>
    </row>
    <row r="218" spans="17:40" x14ac:dyDescent="0.3">
      <c r="Q218" s="4">
        <v>45898</v>
      </c>
      <c r="R218">
        <v>4.2300000000000004</v>
      </c>
      <c r="S218">
        <v>4.4780000000000006</v>
      </c>
      <c r="T218">
        <v>4.2300000000000004</v>
      </c>
      <c r="V218">
        <v>0</v>
      </c>
      <c r="X218" s="4">
        <v>45898</v>
      </c>
      <c r="Y218">
        <v>2.41</v>
      </c>
      <c r="Z218">
        <v>2.4060000000000001</v>
      </c>
      <c r="AA218">
        <v>2.27</v>
      </c>
      <c r="AC218">
        <v>8.0000000000000071E-2</v>
      </c>
      <c r="AE218" s="4">
        <v>45898</v>
      </c>
      <c r="AF218">
        <v>1.82</v>
      </c>
      <c r="AG218">
        <v>2.1259999999999999</v>
      </c>
      <c r="AH218">
        <v>1.8640000000000001</v>
      </c>
      <c r="AJ218">
        <v>-7.9999999999999849E-2</v>
      </c>
      <c r="AL218" s="4">
        <v>45898</v>
      </c>
      <c r="AM218">
        <v>0.64000000000000057</v>
      </c>
      <c r="AN218">
        <v>0</v>
      </c>
    </row>
    <row r="219" spans="17:40" x14ac:dyDescent="0.3">
      <c r="Q219" s="4">
        <v>45905</v>
      </c>
      <c r="R219">
        <v>4.0999999999999996</v>
      </c>
      <c r="S219">
        <v>4.4780000000000006</v>
      </c>
      <c r="T219">
        <v>4.2300000000000004</v>
      </c>
      <c r="V219">
        <v>-0.1699999999999999</v>
      </c>
      <c r="X219" s="4">
        <v>45905</v>
      </c>
      <c r="Y219">
        <v>2.37</v>
      </c>
      <c r="Z219">
        <v>2.4060000000000001</v>
      </c>
      <c r="AA219">
        <v>2.2719999999999998</v>
      </c>
      <c r="AC219">
        <v>-2.0000000000000021E-2</v>
      </c>
      <c r="AE219" s="4">
        <v>45905</v>
      </c>
      <c r="AF219">
        <v>1.73</v>
      </c>
      <c r="AG219">
        <v>2.1259999999999999</v>
      </c>
      <c r="AH219">
        <v>1.8640000000000001</v>
      </c>
      <c r="AJ219">
        <v>-0.14999999999999991</v>
      </c>
      <c r="AL219" s="4">
        <v>45905</v>
      </c>
      <c r="AM219">
        <v>0.58999999999999986</v>
      </c>
      <c r="AN219">
        <v>0</v>
      </c>
    </row>
    <row r="220" spans="17:40" x14ac:dyDescent="0.3">
      <c r="Q220" s="4">
        <v>45912</v>
      </c>
      <c r="R220">
        <v>4.0599999999999996</v>
      </c>
      <c r="S220">
        <v>4.4780000000000006</v>
      </c>
      <c r="T220">
        <v>4.2300000000000004</v>
      </c>
      <c r="V220">
        <v>-0.27000000000000052</v>
      </c>
      <c r="X220" s="4">
        <v>45912</v>
      </c>
      <c r="Y220">
        <v>2.36</v>
      </c>
      <c r="Z220">
        <v>2.4060000000000001</v>
      </c>
      <c r="AA220">
        <v>2.282</v>
      </c>
      <c r="AC220">
        <v>-2.0000000000000021E-2</v>
      </c>
      <c r="AE220" s="4">
        <v>45912</v>
      </c>
      <c r="AF220">
        <v>1.7</v>
      </c>
      <c r="AG220">
        <v>2.1259999999999999</v>
      </c>
      <c r="AH220">
        <v>1.8640000000000001</v>
      </c>
      <c r="AJ220">
        <v>-0.25</v>
      </c>
      <c r="AL220" s="4">
        <v>45912</v>
      </c>
      <c r="AM220">
        <v>0.49999999999999961</v>
      </c>
      <c r="AN220">
        <v>0</v>
      </c>
    </row>
    <row r="221" spans="17:40" x14ac:dyDescent="0.3">
      <c r="Q221" s="4">
        <v>45919</v>
      </c>
      <c r="R221">
        <v>4.1399999999999997</v>
      </c>
      <c r="S221">
        <v>4.4780000000000006</v>
      </c>
      <c r="T221">
        <v>4.2300000000000004</v>
      </c>
      <c r="V221">
        <v>-0.12000000000000011</v>
      </c>
      <c r="X221" s="4">
        <v>45919</v>
      </c>
      <c r="Y221">
        <v>2.39</v>
      </c>
      <c r="Z221">
        <v>2.4060000000000001</v>
      </c>
      <c r="AA221">
        <v>2.29</v>
      </c>
      <c r="AC221">
        <v>-2.0000000000000021E-2</v>
      </c>
      <c r="AE221" s="4">
        <v>45919</v>
      </c>
      <c r="AF221">
        <v>1.75</v>
      </c>
      <c r="AG221">
        <v>2.1259999999999999</v>
      </c>
      <c r="AH221">
        <v>1.8640000000000001</v>
      </c>
      <c r="AJ221">
        <v>-0.1000000000000001</v>
      </c>
      <c r="AL221" s="4">
        <v>45919</v>
      </c>
      <c r="AM221">
        <v>0.56999999999999984</v>
      </c>
      <c r="AN221">
        <v>0</v>
      </c>
    </row>
    <row r="222" spans="17:40" x14ac:dyDescent="0.3">
      <c r="Q222" s="4">
        <v>45926</v>
      </c>
      <c r="R222">
        <v>4.2</v>
      </c>
      <c r="S222">
        <v>4.4780000000000006</v>
      </c>
      <c r="T222">
        <v>4.2300000000000004</v>
      </c>
      <c r="V222">
        <v>-3.0000000000000249E-2</v>
      </c>
      <c r="X222" s="4">
        <v>45926</v>
      </c>
      <c r="Y222">
        <v>2.38</v>
      </c>
      <c r="Z222">
        <v>2.4060000000000001</v>
      </c>
      <c r="AA222">
        <v>2.29</v>
      </c>
      <c r="AC222">
        <v>-3.0000000000000249E-2</v>
      </c>
      <c r="AE222" s="4">
        <v>45926</v>
      </c>
      <c r="AF222">
        <v>1.82</v>
      </c>
      <c r="AG222">
        <v>2.1259999999999999</v>
      </c>
      <c r="AH222">
        <v>1.8640000000000001</v>
      </c>
      <c r="AJ222">
        <v>0</v>
      </c>
      <c r="AL222" s="4">
        <v>45926</v>
      </c>
      <c r="AM222">
        <v>0.57000000000000028</v>
      </c>
      <c r="AN222">
        <v>0</v>
      </c>
    </row>
    <row r="223" spans="17:40" x14ac:dyDescent="0.3">
      <c r="Q223" s="4">
        <v>45933</v>
      </c>
      <c r="R223">
        <v>4.13</v>
      </c>
      <c r="S223">
        <v>4.4780000000000006</v>
      </c>
      <c r="T223">
        <v>4.2300000000000004</v>
      </c>
      <c r="V223">
        <v>3.0000000000000249E-2</v>
      </c>
      <c r="X223" s="4">
        <v>45933</v>
      </c>
      <c r="Y223">
        <v>2.33</v>
      </c>
      <c r="Z223">
        <v>2.4060000000000001</v>
      </c>
      <c r="AA223">
        <v>2.29</v>
      </c>
      <c r="AC223">
        <v>-4.0000000000000042E-2</v>
      </c>
      <c r="AE223" s="4">
        <v>45933</v>
      </c>
      <c r="AF223">
        <v>1.8</v>
      </c>
      <c r="AG223">
        <v>2.1259999999999999</v>
      </c>
      <c r="AH223">
        <v>1.8640000000000001</v>
      </c>
      <c r="AJ223">
        <v>7.0000000000000062E-2</v>
      </c>
      <c r="AL223" s="4">
        <v>45933</v>
      </c>
      <c r="AM223">
        <v>0.54999999999999982</v>
      </c>
      <c r="AN223">
        <v>0</v>
      </c>
    </row>
    <row r="224" spans="17:40" x14ac:dyDescent="0.3">
      <c r="Q224" s="4">
        <v>45940</v>
      </c>
      <c r="R224">
        <v>4.05</v>
      </c>
      <c r="S224">
        <v>4.4780000000000006</v>
      </c>
      <c r="T224">
        <v>4.2300000000000004</v>
      </c>
      <c r="V224">
        <v>-9.9999999999997868E-3</v>
      </c>
      <c r="X224" s="4">
        <v>45940</v>
      </c>
      <c r="Y224">
        <v>2.2999999999999998</v>
      </c>
      <c r="Z224">
        <v>2.4060000000000001</v>
      </c>
      <c r="AA224">
        <v>2.29</v>
      </c>
      <c r="AC224">
        <v>-6.0000000000000053E-2</v>
      </c>
      <c r="AE224" s="4">
        <v>45940</v>
      </c>
      <c r="AF224">
        <v>1.75</v>
      </c>
      <c r="AG224">
        <v>2.1259999999999999</v>
      </c>
      <c r="AH224">
        <v>1.8640000000000001</v>
      </c>
      <c r="AJ224">
        <v>5.0000000000000037E-2</v>
      </c>
      <c r="AL224" s="4">
        <v>45940</v>
      </c>
      <c r="AM224">
        <v>0.5299999999999998</v>
      </c>
      <c r="AN224">
        <v>0</v>
      </c>
    </row>
    <row r="225" spans="17:40" x14ac:dyDescent="0.3">
      <c r="Q225" s="4">
        <v>45947</v>
      </c>
      <c r="R225">
        <v>4.0199999999999996</v>
      </c>
      <c r="S225">
        <v>4.4780000000000006</v>
      </c>
      <c r="T225">
        <v>4.2300000000000004</v>
      </c>
      <c r="V225">
        <v>-0.12000000000000011</v>
      </c>
      <c r="X225" s="4">
        <v>45947</v>
      </c>
      <c r="Y225">
        <v>2.27</v>
      </c>
      <c r="Z225">
        <v>2.4060000000000001</v>
      </c>
      <c r="AA225">
        <v>2.29</v>
      </c>
      <c r="AC225">
        <v>-0.12000000000000011</v>
      </c>
      <c r="AE225" s="4">
        <v>45947</v>
      </c>
      <c r="AF225">
        <v>1.75</v>
      </c>
      <c r="AG225">
        <v>2.1259999999999999</v>
      </c>
      <c r="AH225">
        <v>1.8640000000000001</v>
      </c>
      <c r="AJ225">
        <v>0</v>
      </c>
      <c r="AL225" s="4">
        <v>45947</v>
      </c>
      <c r="AM225">
        <v>0.55999999999999961</v>
      </c>
      <c r="AN225">
        <v>0</v>
      </c>
    </row>
    <row r="226" spans="17:40" x14ac:dyDescent="0.3">
      <c r="Q226" s="4">
        <v>45954</v>
      </c>
      <c r="R226">
        <v>4.0199999999999996</v>
      </c>
      <c r="S226">
        <v>4.4780000000000006</v>
      </c>
      <c r="T226">
        <v>4.2060000000000004</v>
      </c>
      <c r="V226">
        <v>-0.1800000000000006</v>
      </c>
      <c r="X226" s="4">
        <v>45954</v>
      </c>
      <c r="Y226">
        <v>2.29</v>
      </c>
      <c r="Z226">
        <v>2.4060000000000001</v>
      </c>
      <c r="AA226">
        <v>2.29</v>
      </c>
      <c r="AC226">
        <v>-8.9999999999999858E-2</v>
      </c>
      <c r="AE226" s="4">
        <v>45954</v>
      </c>
      <c r="AF226">
        <v>1.73</v>
      </c>
      <c r="AG226">
        <v>2.1259999999999999</v>
      </c>
      <c r="AH226">
        <v>1.8520000000000001</v>
      </c>
      <c r="AJ226">
        <v>-9.000000000000008E-2</v>
      </c>
      <c r="AL226" s="4">
        <v>45954</v>
      </c>
      <c r="AM226">
        <v>0.53999999999999959</v>
      </c>
      <c r="AN226">
        <v>0</v>
      </c>
    </row>
    <row r="227" spans="17:40" x14ac:dyDescent="0.3">
      <c r="Q227" s="4">
        <v>45961</v>
      </c>
      <c r="R227">
        <v>4.1100000000000003</v>
      </c>
      <c r="S227">
        <v>4.4780000000000006</v>
      </c>
      <c r="T227">
        <v>4.1840000000000002</v>
      </c>
      <c r="V227">
        <v>-1.999999999999957E-2</v>
      </c>
      <c r="X227" s="4">
        <v>45961</v>
      </c>
      <c r="Y227">
        <v>2.2999999999999998</v>
      </c>
      <c r="Z227">
        <v>2.4060000000000001</v>
      </c>
      <c r="AA227">
        <v>2.29</v>
      </c>
      <c r="AC227">
        <v>-3.0000000000000249E-2</v>
      </c>
      <c r="AE227" s="4">
        <v>45961</v>
      </c>
      <c r="AF227">
        <v>1.81</v>
      </c>
      <c r="AG227">
        <v>2.1259999999999999</v>
      </c>
      <c r="AH227">
        <v>1.8340000000000001</v>
      </c>
      <c r="AJ227">
        <v>1.0000000000000011E-2</v>
      </c>
      <c r="AL227" s="4">
        <v>45961</v>
      </c>
      <c r="AM227">
        <v>0.51000000000000023</v>
      </c>
      <c r="AN227">
        <v>0</v>
      </c>
    </row>
    <row r="228" spans="17:40" x14ac:dyDescent="0.3">
      <c r="Q228" s="4">
        <v>45968</v>
      </c>
      <c r="R228">
        <v>4.1100000000000003</v>
      </c>
      <c r="S228">
        <v>4.4780000000000006</v>
      </c>
      <c r="T228">
        <v>4.1560000000000006</v>
      </c>
      <c r="V228">
        <v>6.0000000000000497E-2</v>
      </c>
      <c r="X228" s="4">
        <v>45968</v>
      </c>
      <c r="Y228">
        <v>2.2799999999999998</v>
      </c>
      <c r="Z228">
        <v>2.4060000000000001</v>
      </c>
      <c r="AA228">
        <v>2.29</v>
      </c>
      <c r="AC228">
        <v>-2.0000000000000021E-2</v>
      </c>
      <c r="AE228" s="4">
        <v>45968</v>
      </c>
      <c r="AF228">
        <v>1.83</v>
      </c>
      <c r="AG228">
        <v>2.1259999999999999</v>
      </c>
      <c r="AH228">
        <v>1.83</v>
      </c>
      <c r="AJ228">
        <v>8.0000000000000071E-2</v>
      </c>
      <c r="AL228" s="4">
        <v>45968</v>
      </c>
      <c r="AM228">
        <v>0.5600000000000005</v>
      </c>
      <c r="AN228">
        <v>0</v>
      </c>
    </row>
    <row r="229" spans="17:40" x14ac:dyDescent="0.3">
      <c r="Q229" s="4">
        <v>45975</v>
      </c>
      <c r="R229">
        <v>4.1399999999999997</v>
      </c>
      <c r="S229">
        <v>4.4780000000000006</v>
      </c>
      <c r="T229">
        <v>4.1419999999999986</v>
      </c>
      <c r="V229">
        <v>0.12000000000000011</v>
      </c>
      <c r="X229" s="4">
        <v>45975</v>
      </c>
      <c r="Y229">
        <v>2.2799999999999998</v>
      </c>
      <c r="Z229">
        <v>2.4060000000000001</v>
      </c>
      <c r="AA229">
        <v>2.282</v>
      </c>
      <c r="AC229">
        <v>9.9999999999997868E-3</v>
      </c>
      <c r="AE229" s="4">
        <v>45975</v>
      </c>
      <c r="AF229">
        <v>1.86</v>
      </c>
      <c r="AG229">
        <v>2.1259999999999999</v>
      </c>
      <c r="AH229">
        <v>1.83</v>
      </c>
      <c r="AJ229">
        <v>0.1100000000000001</v>
      </c>
      <c r="AL229" s="4">
        <v>45975</v>
      </c>
      <c r="AM229">
        <v>0.51999999999999957</v>
      </c>
      <c r="AN229">
        <v>0</v>
      </c>
    </row>
    <row r="230" spans="17:40" x14ac:dyDescent="0.3">
      <c r="Q230" s="4">
        <v>45982</v>
      </c>
      <c r="R230">
        <v>4.0599999999999996</v>
      </c>
      <c r="S230">
        <v>4.4780000000000006</v>
      </c>
      <c r="T230">
        <v>4.1399999999999997</v>
      </c>
      <c r="V230">
        <v>4.0000000000000042E-2</v>
      </c>
      <c r="X230" s="4">
        <v>45982</v>
      </c>
      <c r="Y230">
        <v>2.2400000000000002</v>
      </c>
      <c r="Z230">
        <v>2.4060000000000001</v>
      </c>
      <c r="AA230">
        <v>2.2799999999999998</v>
      </c>
      <c r="AC230">
        <v>-4.9999999999999822E-2</v>
      </c>
      <c r="AE230" s="4">
        <v>45982</v>
      </c>
      <c r="AF230">
        <v>1.82</v>
      </c>
      <c r="AG230">
        <v>2.1259999999999999</v>
      </c>
      <c r="AH230">
        <v>1.8220000000000001</v>
      </c>
      <c r="AJ230">
        <v>9.000000000000008E-2</v>
      </c>
      <c r="AL230" s="4">
        <v>45982</v>
      </c>
      <c r="AM230">
        <v>0.54999999999999982</v>
      </c>
      <c r="AN230">
        <v>0</v>
      </c>
    </row>
    <row r="231" spans="17:40" x14ac:dyDescent="0.3">
      <c r="Q231" s="4">
        <v>45989</v>
      </c>
      <c r="R231">
        <v>4.0199999999999996</v>
      </c>
      <c r="S231">
        <v>4.4780000000000006</v>
      </c>
      <c r="T231">
        <v>4.1319999999999997</v>
      </c>
      <c r="V231">
        <v>-9.0000000000000746E-2</v>
      </c>
      <c r="X231" s="4">
        <v>45989</v>
      </c>
      <c r="Y231">
        <v>2.23</v>
      </c>
      <c r="Z231">
        <v>2.4060000000000001</v>
      </c>
      <c r="AA231">
        <v>2.2799999999999998</v>
      </c>
      <c r="AC231">
        <v>-6.999999999999984E-2</v>
      </c>
      <c r="AE231" s="4">
        <v>45989</v>
      </c>
      <c r="AF231">
        <v>1.79</v>
      </c>
      <c r="AG231">
        <v>2.1259999999999999</v>
      </c>
      <c r="AH231">
        <v>1.82</v>
      </c>
      <c r="AJ231">
        <v>-2.0000000000000021E-2</v>
      </c>
      <c r="AL231" s="4">
        <v>45989</v>
      </c>
      <c r="AM231">
        <v>0.54999999999999938</v>
      </c>
      <c r="AN231">
        <v>0</v>
      </c>
    </row>
    <row r="232" spans="17:40" x14ac:dyDescent="0.3">
      <c r="Q232" s="4">
        <v>45996</v>
      </c>
      <c r="R232">
        <v>4.1399999999999997</v>
      </c>
      <c r="S232">
        <v>4.4780000000000006</v>
      </c>
      <c r="T232">
        <v>4.1319999999999997</v>
      </c>
      <c r="V232">
        <v>2.9999999999999361E-2</v>
      </c>
      <c r="X232" s="4">
        <v>45996</v>
      </c>
      <c r="Y232">
        <v>2.2599999999999998</v>
      </c>
      <c r="Z232">
        <v>2.4060000000000001</v>
      </c>
      <c r="AA232">
        <v>2.2799999999999998</v>
      </c>
      <c r="AC232">
        <v>-2.0000000000000021E-2</v>
      </c>
      <c r="AE232" s="4">
        <v>45996</v>
      </c>
      <c r="AF232">
        <v>1.88</v>
      </c>
      <c r="AG232">
        <v>2.1259999999999999</v>
      </c>
      <c r="AH232">
        <v>1.82</v>
      </c>
      <c r="AJ232">
        <v>4.9999999999999822E-2</v>
      </c>
      <c r="AL232" s="4">
        <v>45996</v>
      </c>
      <c r="AM232">
        <v>0.57999999999999963</v>
      </c>
      <c r="AN232">
        <v>0</v>
      </c>
    </row>
    <row r="233" spans="17:40" x14ac:dyDescent="0.3">
      <c r="Q233" s="4">
        <v>46003</v>
      </c>
      <c r="R233">
        <v>4.1900000000000004</v>
      </c>
      <c r="S233">
        <v>4.4780000000000006</v>
      </c>
      <c r="T233">
        <v>4.1319999999999997</v>
      </c>
      <c r="V233">
        <v>5.0000000000000711E-2</v>
      </c>
      <c r="X233" s="4">
        <v>46003</v>
      </c>
      <c r="Y233">
        <v>2.2599999999999998</v>
      </c>
      <c r="Z233">
        <v>2.4060000000000001</v>
      </c>
      <c r="AA233">
        <v>2.2799999999999998</v>
      </c>
      <c r="AC233">
        <v>-2.0000000000000021E-2</v>
      </c>
      <c r="AE233" s="4">
        <v>46003</v>
      </c>
      <c r="AF233">
        <v>1.93</v>
      </c>
      <c r="AG233">
        <v>2.1259999999999999</v>
      </c>
      <c r="AH233">
        <v>1.82</v>
      </c>
      <c r="AJ233">
        <v>6.999999999999984E-2</v>
      </c>
      <c r="AL233" s="4">
        <v>46003</v>
      </c>
      <c r="AM233">
        <v>0.67000000000000037</v>
      </c>
      <c r="AN233">
        <v>0</v>
      </c>
    </row>
    <row r="234" spans="17:40" x14ac:dyDescent="0.3">
      <c r="Q234" s="4">
        <v>46010</v>
      </c>
      <c r="R234">
        <v>4.16</v>
      </c>
      <c r="S234">
        <v>4.4640000000000004</v>
      </c>
      <c r="T234">
        <v>4.1319999999999997</v>
      </c>
      <c r="V234">
        <v>0.10000000000000051</v>
      </c>
      <c r="X234" s="4">
        <v>46010</v>
      </c>
      <c r="Y234">
        <v>2.2400000000000002</v>
      </c>
      <c r="Z234">
        <v>2.4060000000000001</v>
      </c>
      <c r="AA234">
        <v>2.2719999999999998</v>
      </c>
      <c r="AC234">
        <v>0</v>
      </c>
      <c r="AE234" s="4">
        <v>46010</v>
      </c>
      <c r="AF234">
        <v>1.92</v>
      </c>
      <c r="AG234">
        <v>2.1059999999999999</v>
      </c>
      <c r="AH234">
        <v>1.82</v>
      </c>
      <c r="AJ234">
        <v>9.9999999999999867E-2</v>
      </c>
      <c r="AL234" s="4">
        <v>46010</v>
      </c>
      <c r="AM234">
        <v>0.68000000000000016</v>
      </c>
      <c r="AN234">
        <v>0</v>
      </c>
    </row>
    <row r="235" spans="17:40" x14ac:dyDescent="0.3">
      <c r="Q235" s="4">
        <v>46017</v>
      </c>
      <c r="R235">
        <v>4.1399999999999997</v>
      </c>
      <c r="S235">
        <v>4.4380000000000006</v>
      </c>
      <c r="T235">
        <v>4.1319999999999997</v>
      </c>
      <c r="V235">
        <v>0.12000000000000011</v>
      </c>
      <c r="X235" s="4">
        <v>46017</v>
      </c>
      <c r="Y235">
        <v>2.23</v>
      </c>
      <c r="Z235">
        <v>2.4060000000000001</v>
      </c>
      <c r="AA235">
        <v>2.27</v>
      </c>
      <c r="AC235">
        <v>0</v>
      </c>
      <c r="AE235" s="4">
        <v>46017</v>
      </c>
      <c r="AF235">
        <v>1.91</v>
      </c>
      <c r="AG235">
        <v>2.0880000000000001</v>
      </c>
      <c r="AH235">
        <v>1.82</v>
      </c>
      <c r="AJ235">
        <v>0.1199999999999999</v>
      </c>
      <c r="AL235" s="4">
        <v>46017</v>
      </c>
      <c r="AM235">
        <v>0.67999999999999972</v>
      </c>
      <c r="AN235">
        <v>0</v>
      </c>
    </row>
    <row r="236" spans="17:40" x14ac:dyDescent="0.3">
      <c r="Q236" s="4">
        <v>46024</v>
      </c>
      <c r="R236">
        <v>4.1900000000000004</v>
      </c>
      <c r="S236">
        <v>4.43</v>
      </c>
      <c r="T236">
        <v>4.1319999999999997</v>
      </c>
      <c r="V236">
        <v>5.0000000000000711E-2</v>
      </c>
      <c r="X236" s="4">
        <v>46024</v>
      </c>
      <c r="Y236">
        <v>2.25</v>
      </c>
      <c r="Z236">
        <v>2.4060000000000001</v>
      </c>
      <c r="AA236">
        <v>2.27</v>
      </c>
      <c r="AC236">
        <v>-9.9999999999997868E-3</v>
      </c>
      <c r="AE236" s="4">
        <v>46024</v>
      </c>
      <c r="AF236">
        <v>1.94</v>
      </c>
      <c r="AG236">
        <v>2.0779999999999998</v>
      </c>
      <c r="AH236">
        <v>1.82</v>
      </c>
      <c r="AJ236">
        <v>6.0000000000000053E-2</v>
      </c>
      <c r="AL236" s="4">
        <v>46024</v>
      </c>
      <c r="AM236">
        <v>0.7200000000000002</v>
      </c>
      <c r="AN236">
        <v>0</v>
      </c>
    </row>
    <row r="237" spans="17:40" x14ac:dyDescent="0.3">
      <c r="Q237" s="4">
        <v>46031</v>
      </c>
      <c r="R237">
        <v>4.18</v>
      </c>
      <c r="S237">
        <v>4.4279999999999999</v>
      </c>
      <c r="T237">
        <v>4.1319999999999997</v>
      </c>
      <c r="V237">
        <v>-1.000000000000068E-2</v>
      </c>
      <c r="X237" s="4">
        <v>46031</v>
      </c>
      <c r="Y237">
        <v>2.2799999999999998</v>
      </c>
      <c r="Z237">
        <v>2.39</v>
      </c>
      <c r="AA237">
        <v>2.27</v>
      </c>
      <c r="AC237">
        <v>2.0000000000000021E-2</v>
      </c>
      <c r="AE237" s="4">
        <v>46031</v>
      </c>
      <c r="AF237">
        <v>1.9</v>
      </c>
      <c r="AG237">
        <v>2.0699999999999998</v>
      </c>
      <c r="AH237">
        <v>1.82</v>
      </c>
      <c r="AJ237">
        <v>-3.000000000000003E-2</v>
      </c>
      <c r="AL237" s="4">
        <v>46031</v>
      </c>
      <c r="AM237">
        <v>0.63999999999999968</v>
      </c>
      <c r="AN237">
        <v>0</v>
      </c>
    </row>
    <row r="238" spans="17:40" x14ac:dyDescent="0.3">
      <c r="Q238" s="4">
        <v>46038</v>
      </c>
      <c r="R238">
        <v>4.24</v>
      </c>
      <c r="S238">
        <v>4.4180000000000001</v>
      </c>
      <c r="T238">
        <v>4.1319999999999997</v>
      </c>
      <c r="V238">
        <v>8.0000000000000071E-2</v>
      </c>
      <c r="X238" s="4">
        <v>46038</v>
      </c>
      <c r="Y238">
        <v>2.33</v>
      </c>
      <c r="Z238">
        <v>2.3879999999999999</v>
      </c>
      <c r="AA238">
        <v>2.27</v>
      </c>
      <c r="AC238">
        <v>8.9999999999999858E-2</v>
      </c>
      <c r="AE238" s="4">
        <v>46038</v>
      </c>
      <c r="AF238">
        <v>1.91</v>
      </c>
      <c r="AG238">
        <v>2.0680000000000001</v>
      </c>
      <c r="AH238">
        <v>1.82</v>
      </c>
      <c r="AJ238">
        <v>-1.0000000000000011E-2</v>
      </c>
      <c r="AL238" s="4">
        <v>46038</v>
      </c>
      <c r="AM238">
        <v>0.65000000000000036</v>
      </c>
      <c r="AN238">
        <v>0</v>
      </c>
    </row>
    <row r="239" spans="17:40" x14ac:dyDescent="0.3">
      <c r="Q239" s="4">
        <v>46045</v>
      </c>
      <c r="R239">
        <v>4.24</v>
      </c>
      <c r="S239">
        <v>4.41</v>
      </c>
      <c r="T239">
        <v>4.1319999999999997</v>
      </c>
      <c r="V239">
        <v>0.10000000000000051</v>
      </c>
      <c r="X239" s="4">
        <v>46045</v>
      </c>
      <c r="Y239">
        <v>2.3199999999999998</v>
      </c>
      <c r="Z239">
        <v>2.38</v>
      </c>
      <c r="AA239">
        <v>2.27</v>
      </c>
      <c r="AC239">
        <v>8.9999999999999858E-2</v>
      </c>
      <c r="AE239" s="4">
        <v>46045</v>
      </c>
      <c r="AF239">
        <v>1.92</v>
      </c>
      <c r="AG239">
        <v>2.06</v>
      </c>
      <c r="AH239">
        <v>1.82</v>
      </c>
      <c r="AJ239">
        <v>1.0000000000000011E-2</v>
      </c>
      <c r="AL239" s="4">
        <v>46045</v>
      </c>
      <c r="AM239">
        <v>0.64000000000000012</v>
      </c>
      <c r="AN239">
        <v>0</v>
      </c>
    </row>
    <row r="240" spans="17:40" x14ac:dyDescent="0.3">
      <c r="Q240" s="4">
        <v>46052</v>
      </c>
      <c r="R240">
        <v>4.26</v>
      </c>
      <c r="S240">
        <v>4.4080000000000004</v>
      </c>
      <c r="T240">
        <v>4.1319999999999997</v>
      </c>
      <c r="V240">
        <v>6.9999999999999396E-2</v>
      </c>
      <c r="X240" s="4">
        <v>46052</v>
      </c>
      <c r="Y240">
        <v>2.36</v>
      </c>
      <c r="Z240">
        <v>2.38</v>
      </c>
      <c r="AA240">
        <v>2.27</v>
      </c>
      <c r="AC240">
        <v>0.1099999999999999</v>
      </c>
      <c r="AE240" s="4">
        <v>46052</v>
      </c>
      <c r="AF240">
        <v>1.9</v>
      </c>
      <c r="AG240">
        <v>2.0579999999999998</v>
      </c>
      <c r="AH240">
        <v>1.82</v>
      </c>
      <c r="AJ240">
        <v>-4.0000000000000042E-2</v>
      </c>
      <c r="AL240" s="4">
        <v>46052</v>
      </c>
      <c r="AM240">
        <v>0.73999999999999977</v>
      </c>
      <c r="AN240">
        <v>0</v>
      </c>
    </row>
    <row r="241" spans="17:40" x14ac:dyDescent="0.3">
      <c r="Q241" s="4">
        <v>46059</v>
      </c>
      <c r="R241">
        <v>4.22</v>
      </c>
      <c r="S241">
        <v>4.3959999999999999</v>
      </c>
      <c r="T241">
        <v>4.1319999999999997</v>
      </c>
      <c r="V241">
        <v>4.0000000000000042E-2</v>
      </c>
      <c r="X241" s="4">
        <v>46059</v>
      </c>
      <c r="Y241">
        <v>2.34</v>
      </c>
      <c r="Z241">
        <v>2.3780000000000001</v>
      </c>
      <c r="AA241">
        <v>2.27</v>
      </c>
      <c r="AC241">
        <v>6.0000000000000053E-2</v>
      </c>
      <c r="AE241" s="4">
        <v>46059</v>
      </c>
      <c r="AF241">
        <v>1.88</v>
      </c>
      <c r="AG241">
        <v>2.048</v>
      </c>
      <c r="AH241">
        <v>1.82</v>
      </c>
      <c r="AJ241">
        <v>-2.0000000000000021E-2</v>
      </c>
      <c r="AL241" s="4">
        <v>46059</v>
      </c>
      <c r="AM241">
        <v>0.71999999999999975</v>
      </c>
      <c r="AN241">
        <v>0</v>
      </c>
    </row>
    <row r="242" spans="17:40" x14ac:dyDescent="0.3">
      <c r="Q242" s="4">
        <v>46066</v>
      </c>
      <c r="R242">
        <v>4.04</v>
      </c>
      <c r="S242">
        <v>4.3780000000000001</v>
      </c>
      <c r="T242">
        <v>4.1139999999999999</v>
      </c>
      <c r="V242">
        <v>-0.20000000000000021</v>
      </c>
      <c r="X242" s="4">
        <v>46066</v>
      </c>
      <c r="Y242">
        <v>2.27</v>
      </c>
      <c r="Z242">
        <v>2.37</v>
      </c>
      <c r="AA242">
        <v>2.27</v>
      </c>
      <c r="AC242">
        <v>-6.0000000000000053E-2</v>
      </c>
      <c r="AE242" s="4">
        <v>46066</v>
      </c>
      <c r="AF242">
        <v>1.77</v>
      </c>
      <c r="AG242">
        <v>2.0459999999999998</v>
      </c>
      <c r="AH242">
        <v>1.82</v>
      </c>
      <c r="AJ242">
        <v>-0.1399999999999999</v>
      </c>
      <c r="AL242" s="4">
        <v>46066</v>
      </c>
      <c r="AM242">
        <v>0.64000000000000012</v>
      </c>
      <c r="AN242">
        <v>0</v>
      </c>
    </row>
    <row r="243" spans="17:40" x14ac:dyDescent="0.3">
      <c r="Q243" s="4">
        <v>46073</v>
      </c>
      <c r="R243">
        <v>4.08</v>
      </c>
      <c r="S243">
        <v>4.3659999999999997</v>
      </c>
      <c r="T243">
        <v>4.1100000000000003</v>
      </c>
      <c r="V243">
        <v>-0.16000000000000009</v>
      </c>
      <c r="X243" s="4">
        <v>46073</v>
      </c>
      <c r="Y243">
        <v>2.2799999999999998</v>
      </c>
      <c r="Z243">
        <v>2.37</v>
      </c>
      <c r="AA243">
        <v>2.27</v>
      </c>
      <c r="AC243">
        <v>-4.0000000000000042E-2</v>
      </c>
      <c r="AE243" s="4">
        <v>46073</v>
      </c>
      <c r="AF243">
        <v>1.8</v>
      </c>
      <c r="AG243">
        <v>2.0459999999999998</v>
      </c>
      <c r="AH243">
        <v>1.8120000000000001</v>
      </c>
      <c r="AJ243">
        <v>-0.1199999999999999</v>
      </c>
      <c r="AL243" s="4">
        <v>46073</v>
      </c>
      <c r="AM243">
        <v>0.60000000000000009</v>
      </c>
      <c r="AN243">
        <v>0</v>
      </c>
    </row>
    <row r="244" spans="17:40" x14ac:dyDescent="0.3">
      <c r="Q244" s="4">
        <v>46080</v>
      </c>
      <c r="R244">
        <v>3.97</v>
      </c>
      <c r="S244">
        <v>4.3659999999999997</v>
      </c>
      <c r="T244">
        <v>4.1019999999999994</v>
      </c>
      <c r="V244">
        <v>-0.28999999999999959</v>
      </c>
      <c r="X244" s="4">
        <v>46080</v>
      </c>
      <c r="Y244">
        <v>2.25</v>
      </c>
      <c r="Z244">
        <v>2.3679999999999999</v>
      </c>
      <c r="AA244">
        <v>2.262</v>
      </c>
      <c r="AC244">
        <v>-0.1099999999999999</v>
      </c>
      <c r="AE244" s="4">
        <v>46080</v>
      </c>
      <c r="AF244">
        <v>1.72</v>
      </c>
      <c r="AG244">
        <v>2.0459999999999998</v>
      </c>
      <c r="AH244">
        <v>1.802</v>
      </c>
      <c r="AJ244">
        <v>-0.17999999999999991</v>
      </c>
      <c r="AL244" s="4">
        <v>46080</v>
      </c>
      <c r="AM244">
        <v>0.5900000000000003</v>
      </c>
      <c r="AN244">
        <v>0</v>
      </c>
    </row>
    <row r="245" spans="17:40" x14ac:dyDescent="0.3">
      <c r="Q245" s="4">
        <v>46087</v>
      </c>
      <c r="R245">
        <v>4.1500000000000004</v>
      </c>
      <c r="S245">
        <v>4.3659999999999997</v>
      </c>
      <c r="T245">
        <v>4.1019999999999994</v>
      </c>
      <c r="V245">
        <v>-6.9999999999999396E-2</v>
      </c>
      <c r="X245" s="4">
        <v>46087</v>
      </c>
      <c r="Y245">
        <v>2.35</v>
      </c>
      <c r="Z245">
        <v>2.3679999999999999</v>
      </c>
      <c r="AA245">
        <v>2.262</v>
      </c>
      <c r="AC245">
        <v>1.0000000000000229E-2</v>
      </c>
      <c r="AE245" s="4">
        <v>46087</v>
      </c>
      <c r="AF245">
        <v>1.8</v>
      </c>
      <c r="AG245">
        <v>2.0459999999999998</v>
      </c>
      <c r="AH245">
        <v>1.8</v>
      </c>
      <c r="AJ245">
        <v>-7.9999999999999849E-2</v>
      </c>
      <c r="AL245" s="4">
        <v>46087</v>
      </c>
      <c r="AM245">
        <v>0.5900000000000003</v>
      </c>
      <c r="AN245">
        <v>0</v>
      </c>
    </row>
    <row r="246" spans="17:40" x14ac:dyDescent="0.3">
      <c r="Q246" s="4">
        <v>46094</v>
      </c>
      <c r="R246">
        <v>4.28</v>
      </c>
      <c r="S246">
        <v>4.3659999999999997</v>
      </c>
      <c r="T246">
        <v>4.1019999999999994</v>
      </c>
      <c r="V246">
        <v>0.24000000000000021</v>
      </c>
      <c r="X246" s="4">
        <v>46094</v>
      </c>
      <c r="Y246">
        <v>2.36</v>
      </c>
      <c r="Z246">
        <v>2.3679999999999999</v>
      </c>
      <c r="AA246">
        <v>2.262</v>
      </c>
      <c r="AC246">
        <v>8.9999999999999858E-2</v>
      </c>
      <c r="AE246" s="4">
        <v>46094</v>
      </c>
      <c r="AF246">
        <v>1.92</v>
      </c>
      <c r="AG246">
        <v>2.0459999999999998</v>
      </c>
      <c r="AH246">
        <v>1.8</v>
      </c>
      <c r="AJ246">
        <v>0.14999999999999991</v>
      </c>
      <c r="AL246" s="4">
        <v>46094</v>
      </c>
      <c r="AM246">
        <v>0.55000000000000027</v>
      </c>
      <c r="AN246">
        <v>0</v>
      </c>
    </row>
    <row r="247" spans="17:40" x14ac:dyDescent="0.3">
      <c r="Q247" s="4">
        <v>46101</v>
      </c>
      <c r="R247">
        <v>4.3899999999999997</v>
      </c>
      <c r="S247">
        <v>4.3780000000000001</v>
      </c>
      <c r="T247">
        <v>4.1019999999999994</v>
      </c>
      <c r="V247">
        <v>0.30999999999999961</v>
      </c>
      <c r="X247" s="4">
        <v>46101</v>
      </c>
      <c r="Y247">
        <v>2.38</v>
      </c>
      <c r="Z247">
        <v>2.37</v>
      </c>
      <c r="AA247">
        <v>2.262</v>
      </c>
      <c r="AC247">
        <v>0.1000000000000001</v>
      </c>
      <c r="AE247" s="4">
        <v>46101</v>
      </c>
      <c r="AF247">
        <v>2.0099999999999998</v>
      </c>
      <c r="AG247">
        <v>2.0459999999999998</v>
      </c>
      <c r="AH247">
        <v>1.8</v>
      </c>
      <c r="AJ247">
        <v>0.20999999999999969</v>
      </c>
      <c r="AL247" s="4">
        <v>46101</v>
      </c>
      <c r="AM247">
        <v>0.50999999999999979</v>
      </c>
      <c r="AN247">
        <v>0</v>
      </c>
    </row>
    <row r="248" spans="17:40" x14ac:dyDescent="0.3">
      <c r="Q248" s="4">
        <v>46108</v>
      </c>
      <c r="R248">
        <v>4.4400000000000004</v>
      </c>
      <c r="S248">
        <v>4.3879999999999999</v>
      </c>
      <c r="T248">
        <v>4.1019999999999994</v>
      </c>
      <c r="V248">
        <v>0.4700000000000002</v>
      </c>
      <c r="X248" s="4">
        <v>46108</v>
      </c>
      <c r="Y248">
        <v>2.31</v>
      </c>
      <c r="Z248">
        <v>2.3679999999999999</v>
      </c>
      <c r="AA248">
        <v>2.262</v>
      </c>
      <c r="AC248">
        <v>6.0000000000000053E-2</v>
      </c>
      <c r="AE248" s="4">
        <v>46108</v>
      </c>
      <c r="AF248">
        <v>2.13</v>
      </c>
      <c r="AG248">
        <v>2.0579999999999998</v>
      </c>
      <c r="AH248">
        <v>1.8</v>
      </c>
      <c r="AJ248">
        <v>0.40999999999999992</v>
      </c>
      <c r="AL248" s="4">
        <v>46108</v>
      </c>
      <c r="AM248">
        <v>0.5600000000000005</v>
      </c>
      <c r="AN248">
        <v>0</v>
      </c>
    </row>
    <row r="249" spans="17:40" x14ac:dyDescent="0.3">
      <c r="Q249" s="4">
        <v>46115</v>
      </c>
      <c r="R249">
        <v>4.3499999999999996</v>
      </c>
      <c r="S249">
        <v>4.3879999999999999</v>
      </c>
      <c r="T249">
        <v>4.1100000000000003</v>
      </c>
      <c r="V249">
        <v>0.19999999999999929</v>
      </c>
      <c r="X249" s="4">
        <v>46115</v>
      </c>
      <c r="Y249">
        <v>2.36</v>
      </c>
      <c r="Z249">
        <v>2.3679999999999999</v>
      </c>
      <c r="AA249">
        <v>2.27</v>
      </c>
      <c r="AC249">
        <v>9.9999999999997868E-3</v>
      </c>
      <c r="AE249" s="4">
        <v>46115</v>
      </c>
      <c r="AF249">
        <v>1.99</v>
      </c>
      <c r="AG249">
        <v>2.0579999999999998</v>
      </c>
      <c r="AH249">
        <v>1.8</v>
      </c>
      <c r="AJ249">
        <v>0.18999999999999989</v>
      </c>
      <c r="AL249" s="4">
        <v>46115</v>
      </c>
      <c r="AM249">
        <v>0.50999999999999979</v>
      </c>
      <c r="AN249">
        <v>0</v>
      </c>
    </row>
    <row r="250" spans="17:40" x14ac:dyDescent="0.3">
      <c r="Q250" s="4">
        <v>46122</v>
      </c>
      <c r="R250">
        <v>4.3099999999999996</v>
      </c>
      <c r="S250">
        <v>4.3780000000000001</v>
      </c>
      <c r="T250">
        <v>4.1100000000000003</v>
      </c>
      <c r="V250">
        <v>2.9999999999999361E-2</v>
      </c>
      <c r="X250" s="4">
        <v>46122</v>
      </c>
      <c r="Y250">
        <v>2.36</v>
      </c>
      <c r="Z250">
        <v>2.3679999999999999</v>
      </c>
      <c r="AA250">
        <v>2.27</v>
      </c>
      <c r="AC250">
        <v>0</v>
      </c>
      <c r="AE250" s="4">
        <v>46122</v>
      </c>
      <c r="AF250">
        <v>1.95</v>
      </c>
      <c r="AG250">
        <v>2.0459999999999998</v>
      </c>
      <c r="AH250">
        <v>1.8</v>
      </c>
      <c r="AJ250">
        <v>3.000000000000003E-2</v>
      </c>
      <c r="AL250" s="4">
        <v>46122</v>
      </c>
      <c r="AM250">
        <v>0.49999999999999961</v>
      </c>
      <c r="AN250">
        <v>0</v>
      </c>
    </row>
    <row r="251" spans="17:40" x14ac:dyDescent="0.3">
      <c r="Q251" s="4">
        <v>46129</v>
      </c>
      <c r="R251">
        <v>4.26</v>
      </c>
      <c r="S251">
        <v>4.3780000000000001</v>
      </c>
      <c r="T251">
        <v>4.1100000000000003</v>
      </c>
      <c r="V251">
        <v>-0.12999999999999989</v>
      </c>
      <c r="X251" s="4">
        <v>46129</v>
      </c>
      <c r="Y251">
        <v>2.36</v>
      </c>
      <c r="Z251">
        <v>2.3679999999999999</v>
      </c>
      <c r="AA251">
        <v>2.27</v>
      </c>
      <c r="AC251">
        <v>-2.0000000000000021E-2</v>
      </c>
      <c r="AE251" s="4">
        <v>46129</v>
      </c>
      <c r="AF251">
        <v>1.9</v>
      </c>
      <c r="AG251">
        <v>2.028</v>
      </c>
      <c r="AH251">
        <v>1.8</v>
      </c>
      <c r="AJ251">
        <v>-0.1099999999999999</v>
      </c>
      <c r="AL251" s="4">
        <v>46129</v>
      </c>
      <c r="AM251">
        <v>0.54999999999999982</v>
      </c>
      <c r="AN251">
        <v>0</v>
      </c>
    </row>
    <row r="252" spans="17:40" x14ac:dyDescent="0.3">
      <c r="Q252" s="4">
        <v>46136</v>
      </c>
      <c r="R252">
        <v>4.3099999999999996</v>
      </c>
      <c r="S252">
        <v>4.3780000000000001</v>
      </c>
      <c r="T252">
        <v>4.1100000000000003</v>
      </c>
      <c r="V252">
        <v>-0.13000000000000081</v>
      </c>
      <c r="X252" s="4">
        <v>46136</v>
      </c>
      <c r="Y252">
        <v>2.42</v>
      </c>
      <c r="Z252">
        <v>2.37</v>
      </c>
      <c r="AA252">
        <v>2.2719999999999998</v>
      </c>
      <c r="AC252">
        <v>0.1099999999999999</v>
      </c>
      <c r="AE252" s="4">
        <v>46136</v>
      </c>
      <c r="AF252">
        <v>1.89</v>
      </c>
      <c r="AG252">
        <v>2.028</v>
      </c>
      <c r="AH252">
        <v>1.8</v>
      </c>
      <c r="AJ252">
        <v>-0.24</v>
      </c>
      <c r="AL252" s="4">
        <v>46136</v>
      </c>
      <c r="AM252">
        <v>0.5299999999999998</v>
      </c>
      <c r="AN252">
        <v>0</v>
      </c>
    </row>
    <row r="253" spans="17:40" x14ac:dyDescent="0.3">
      <c r="Q253" s="4">
        <v>46143</v>
      </c>
      <c r="R253">
        <v>4.3899999999999997</v>
      </c>
      <c r="S253">
        <v>4.3879999999999999</v>
      </c>
      <c r="T253">
        <v>4.1100000000000003</v>
      </c>
      <c r="V253">
        <v>4.0000000000000042E-2</v>
      </c>
      <c r="X253" s="4">
        <v>46143</v>
      </c>
      <c r="Y253">
        <v>2.48</v>
      </c>
      <c r="Z253">
        <v>2.3780000000000001</v>
      </c>
      <c r="AA253">
        <v>2.2799999999999998</v>
      </c>
      <c r="AC253">
        <v>0.12000000000000011</v>
      </c>
      <c r="AE253" s="4">
        <v>46143</v>
      </c>
      <c r="AF253">
        <v>1.91</v>
      </c>
      <c r="AG253">
        <v>2.0179999999999998</v>
      </c>
      <c r="AH253">
        <v>1.8</v>
      </c>
      <c r="AJ253">
        <v>-8.0000000000000071E-2</v>
      </c>
      <c r="AL253" s="4">
        <v>46143</v>
      </c>
      <c r="AM253">
        <v>0.50999999999999979</v>
      </c>
      <c r="AN253">
        <v>0</v>
      </c>
    </row>
    <row r="254" spans="17:40" x14ac:dyDescent="0.3">
      <c r="Q254" s="4">
        <v>46150</v>
      </c>
      <c r="R254">
        <v>4.38</v>
      </c>
      <c r="S254">
        <v>4.3879999999999999</v>
      </c>
      <c r="T254">
        <v>4.1100000000000003</v>
      </c>
      <c r="V254">
        <v>7.0000000000000284E-2</v>
      </c>
      <c r="X254" s="4">
        <v>46150</v>
      </c>
      <c r="Y254">
        <v>2.4500000000000002</v>
      </c>
      <c r="Z254">
        <v>2.38</v>
      </c>
      <c r="AA254">
        <v>2.2799999999999998</v>
      </c>
      <c r="AC254">
        <v>9.0000000000000302E-2</v>
      </c>
      <c r="AE254" s="4">
        <v>46150</v>
      </c>
      <c r="AF254">
        <v>1.93</v>
      </c>
      <c r="AG254">
        <v>2.008</v>
      </c>
      <c r="AH254">
        <v>1.8</v>
      </c>
      <c r="AJ254">
        <v>-2.0000000000000021E-2</v>
      </c>
      <c r="AL254" s="4">
        <v>46150</v>
      </c>
      <c r="AM254">
        <v>0.48</v>
      </c>
      <c r="AN254">
        <v>0</v>
      </c>
    </row>
    <row r="255" spans="17:40" x14ac:dyDescent="0.3">
      <c r="Q255" s="4">
        <v>46157</v>
      </c>
      <c r="R255">
        <v>4.59</v>
      </c>
      <c r="S255">
        <v>4.3879999999999999</v>
      </c>
      <c r="T255">
        <v>4.1100000000000003</v>
      </c>
      <c r="V255">
        <v>0.33000000000000013</v>
      </c>
      <c r="X255" s="4">
        <v>46157</v>
      </c>
      <c r="Y255">
        <v>2.4900000000000002</v>
      </c>
      <c r="Z255">
        <v>2.38</v>
      </c>
      <c r="AA255">
        <v>2.2799999999999998</v>
      </c>
      <c r="AC255">
        <v>0.13000000000000031</v>
      </c>
      <c r="AE255" s="4">
        <v>46157</v>
      </c>
      <c r="AF255">
        <v>2.1</v>
      </c>
      <c r="AG255">
        <v>2.008</v>
      </c>
      <c r="AH255">
        <v>1.8</v>
      </c>
      <c r="AJ255">
        <v>0.20000000000000021</v>
      </c>
      <c r="AL255" s="4">
        <v>46157</v>
      </c>
      <c r="AM255">
        <v>0.5</v>
      </c>
      <c r="AN255">
        <v>0</v>
      </c>
    </row>
    <row r="256" spans="17:40" x14ac:dyDescent="0.3">
      <c r="Q256" s="4">
        <v>46164</v>
      </c>
      <c r="R256">
        <v>4.5599999999999996</v>
      </c>
      <c r="S256">
        <v>4.3879999999999999</v>
      </c>
      <c r="T256">
        <v>4.1100000000000003</v>
      </c>
      <c r="V256">
        <v>0.25</v>
      </c>
      <c r="X256" s="4">
        <v>46164</v>
      </c>
      <c r="Y256">
        <v>2.4</v>
      </c>
      <c r="Z256">
        <v>2.3879999999999999</v>
      </c>
      <c r="AA256">
        <v>2.2799999999999998</v>
      </c>
      <c r="AC256">
        <v>-2.0000000000000021E-2</v>
      </c>
      <c r="AE256" s="4">
        <v>46164</v>
      </c>
      <c r="AF256">
        <v>2.16</v>
      </c>
      <c r="AG256">
        <v>2.008</v>
      </c>
      <c r="AH256">
        <v>1.8</v>
      </c>
      <c r="AJ256">
        <v>0.27000000000000018</v>
      </c>
      <c r="AL256" s="4">
        <v>46164</v>
      </c>
      <c r="AM256">
        <v>0.42999999999999972</v>
      </c>
      <c r="AN256">
        <v>0</v>
      </c>
    </row>
    <row r="257" spans="17:41" x14ac:dyDescent="0.3">
      <c r="Q257" s="4">
        <v>46171</v>
      </c>
      <c r="R257">
        <v>4.45</v>
      </c>
      <c r="S257">
        <v>4.3879999999999999</v>
      </c>
      <c r="T257">
        <v>4.1100000000000003</v>
      </c>
      <c r="V257">
        <v>6.0000000000000497E-2</v>
      </c>
      <c r="X257" s="4">
        <v>46171</v>
      </c>
      <c r="Y257">
        <v>2.38</v>
      </c>
      <c r="Z257">
        <v>2.3879999999999999</v>
      </c>
      <c r="AA257">
        <v>2.2799999999999998</v>
      </c>
      <c r="AC257">
        <v>-0.1000000000000001</v>
      </c>
      <c r="AE257" s="4">
        <v>46171</v>
      </c>
      <c r="AF257">
        <v>2.0699999999999998</v>
      </c>
      <c r="AG257">
        <v>2.008</v>
      </c>
      <c r="AH257">
        <v>1.8</v>
      </c>
      <c r="AJ257">
        <v>0.15999999999999989</v>
      </c>
      <c r="AL257" s="4">
        <v>46171</v>
      </c>
      <c r="AM257">
        <v>0.4700000000000002</v>
      </c>
      <c r="AN257">
        <v>0</v>
      </c>
    </row>
    <row r="258" spans="17:41" x14ac:dyDescent="0.3">
      <c r="Q258" s="4">
        <v>46178</v>
      </c>
      <c r="R258">
        <v>4.55</v>
      </c>
      <c r="S258">
        <v>4.3879999999999999</v>
      </c>
      <c r="T258">
        <v>4.1100000000000003</v>
      </c>
      <c r="V258">
        <v>0.1699999999999999</v>
      </c>
      <c r="X258" s="4">
        <v>46178</v>
      </c>
      <c r="Y258">
        <v>2.36</v>
      </c>
      <c r="Z258">
        <v>2.3879999999999999</v>
      </c>
      <c r="AA258">
        <v>2.2799999999999998</v>
      </c>
      <c r="AC258">
        <v>-9.0000000000000302E-2</v>
      </c>
      <c r="AE258" s="4">
        <v>46178</v>
      </c>
      <c r="AF258">
        <v>2.19</v>
      </c>
      <c r="AG258">
        <v>2.008</v>
      </c>
      <c r="AH258">
        <v>1.8</v>
      </c>
      <c r="AJ258">
        <v>0.26</v>
      </c>
      <c r="AL258" s="4">
        <v>46178</v>
      </c>
      <c r="AM258">
        <v>0.37999999999999989</v>
      </c>
      <c r="AN258">
        <v>0</v>
      </c>
    </row>
    <row r="259" spans="17:41" x14ac:dyDescent="0.3">
      <c r="Q259" s="4">
        <v>46185</v>
      </c>
      <c r="R259">
        <v>4.4800000000000004</v>
      </c>
      <c r="S259">
        <v>4.3879999999999999</v>
      </c>
      <c r="T259">
        <v>4.1100000000000003</v>
      </c>
      <c r="V259">
        <v>-0.1099999999999994</v>
      </c>
      <c r="X259" s="4">
        <v>46185</v>
      </c>
      <c r="Y259">
        <v>2.31</v>
      </c>
      <c r="Z259">
        <v>2.3879999999999999</v>
      </c>
      <c r="AA259">
        <v>2.2799999999999998</v>
      </c>
      <c r="AC259">
        <v>-0.18000000000000019</v>
      </c>
      <c r="AE259" s="4">
        <v>46185</v>
      </c>
      <c r="AF259">
        <v>2.17</v>
      </c>
      <c r="AG259">
        <v>2.008</v>
      </c>
      <c r="AH259">
        <v>1.8</v>
      </c>
      <c r="AJ259">
        <v>6.999999999999984E-2</v>
      </c>
      <c r="AL259" s="4">
        <v>46185</v>
      </c>
      <c r="AM259">
        <v>0.39000000000000062</v>
      </c>
      <c r="AN259">
        <v>0</v>
      </c>
    </row>
    <row r="260" spans="17:41" x14ac:dyDescent="0.3">
      <c r="Q260" s="4">
        <v>46192</v>
      </c>
      <c r="R260">
        <v>4.46</v>
      </c>
      <c r="S260">
        <v>4.3899999999999997</v>
      </c>
      <c r="T260">
        <v>4.1100000000000003</v>
      </c>
      <c r="V260">
        <v>-9.9999999999999645E-2</v>
      </c>
      <c r="X260" s="4">
        <v>46192</v>
      </c>
      <c r="Y260">
        <v>2.25</v>
      </c>
      <c r="Z260">
        <v>2.3879999999999999</v>
      </c>
      <c r="AA260">
        <v>2.2719999999999998</v>
      </c>
      <c r="AC260">
        <v>-0.14999999999999991</v>
      </c>
      <c r="AE260" s="4">
        <v>46192</v>
      </c>
      <c r="AF260">
        <v>2.21</v>
      </c>
      <c r="AG260">
        <v>2.008</v>
      </c>
      <c r="AH260">
        <v>1.8</v>
      </c>
      <c r="AJ260">
        <v>4.9999999999999822E-2</v>
      </c>
      <c r="AL260" s="4">
        <v>46192</v>
      </c>
      <c r="AM260">
        <v>0.26999999999999957</v>
      </c>
      <c r="AN260">
        <v>0</v>
      </c>
    </row>
    <row r="261" spans="17:41" x14ac:dyDescent="0.3">
      <c r="Q261" s="4">
        <v>46199</v>
      </c>
      <c r="R261">
        <v>4.4000000000000004</v>
      </c>
      <c r="S261">
        <v>4.3980000000000006</v>
      </c>
      <c r="T261">
        <v>4.1100000000000003</v>
      </c>
      <c r="U261">
        <v>4.4000000000000004</v>
      </c>
      <c r="V261">
        <v>-4.9999999999999822E-2</v>
      </c>
      <c r="X261" s="4">
        <v>46199</v>
      </c>
      <c r="Y261">
        <v>2.2000000000000002</v>
      </c>
      <c r="Z261">
        <v>2.3879999999999999</v>
      </c>
      <c r="AA261">
        <v>2.27</v>
      </c>
      <c r="AB261">
        <v>2.2000000000000002</v>
      </c>
      <c r="AC261">
        <v>-0.17999999999999969</v>
      </c>
      <c r="AE261" s="4">
        <v>46199</v>
      </c>
      <c r="AF261">
        <v>2.19</v>
      </c>
      <c r="AG261">
        <v>2.0179999999999998</v>
      </c>
      <c r="AH261">
        <v>1.8</v>
      </c>
      <c r="AI261">
        <v>2.19</v>
      </c>
      <c r="AJ261">
        <v>0.12000000000000011</v>
      </c>
      <c r="AL261" s="4">
        <v>46199</v>
      </c>
      <c r="AM261">
        <v>0.3100000000000005</v>
      </c>
      <c r="AN261">
        <v>0</v>
      </c>
      <c r="AO261">
        <v>0.3100000000000005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266</v>
      </c>
      <c r="B1" s="42" t="s">
        <v>224</v>
      </c>
      <c r="C1" s="42" t="s">
        <v>225</v>
      </c>
      <c r="D1" s="43"/>
      <c r="E1" s="42" t="s">
        <v>25</v>
      </c>
      <c r="F1" s="42" t="s">
        <v>4</v>
      </c>
      <c r="G1" s="42"/>
      <c r="H1" s="43"/>
      <c r="I1" s="42" t="s">
        <v>57</v>
      </c>
      <c r="J1" s="42" t="s">
        <v>165</v>
      </c>
      <c r="K1" s="42" t="s">
        <v>267</v>
      </c>
      <c r="L1" s="42" t="s">
        <v>268</v>
      </c>
      <c r="M1" s="42" t="s">
        <v>269</v>
      </c>
      <c r="N1" s="42" t="s">
        <v>162</v>
      </c>
      <c r="O1" s="42" t="s">
        <v>270</v>
      </c>
      <c r="P1" s="43"/>
      <c r="Q1" s="42" t="s">
        <v>224</v>
      </c>
      <c r="R1" s="42" t="s">
        <v>271</v>
      </c>
      <c r="S1" s="43"/>
      <c r="T1" s="43"/>
      <c r="U1" s="42" t="s">
        <v>266</v>
      </c>
      <c r="V1" s="42" t="s">
        <v>272</v>
      </c>
      <c r="W1" s="42" t="s">
        <v>273</v>
      </c>
      <c r="X1" s="42" t="s">
        <v>274</v>
      </c>
      <c r="Y1" s="42" t="s">
        <v>275</v>
      </c>
      <c r="Z1" s="42" t="s">
        <v>276</v>
      </c>
      <c r="AA1" s="43"/>
      <c r="AB1" s="43"/>
      <c r="AC1" s="43"/>
      <c r="AD1" s="43"/>
      <c r="AE1" s="43"/>
      <c r="AF1" s="43"/>
      <c r="AG1" s="42" t="s">
        <v>237</v>
      </c>
      <c r="AH1" s="42" t="s">
        <v>26</v>
      </c>
      <c r="AI1" s="42" t="s">
        <v>277</v>
      </c>
      <c r="AJ1" s="42" t="s">
        <v>278</v>
      </c>
      <c r="AK1" s="42" t="s">
        <v>279</v>
      </c>
      <c r="AL1" s="43"/>
      <c r="AM1" s="42" t="s">
        <v>237</v>
      </c>
      <c r="AN1" s="42" t="s">
        <v>280</v>
      </c>
      <c r="AO1" s="42" t="s">
        <v>29</v>
      </c>
      <c r="AP1" s="42" t="s">
        <v>30</v>
      </c>
      <c r="AQ1" s="42" t="s">
        <v>31</v>
      </c>
      <c r="AR1" s="42" t="s">
        <v>281</v>
      </c>
      <c r="AS1" s="43"/>
      <c r="AT1" s="42" t="s">
        <v>57</v>
      </c>
      <c r="AU1" s="42" t="s">
        <v>282</v>
      </c>
      <c r="AV1" s="42" t="s">
        <v>283</v>
      </c>
      <c r="AW1" s="42" t="s">
        <v>60</v>
      </c>
      <c r="AX1" s="42" t="s">
        <v>284</v>
      </c>
    </row>
    <row r="2" spans="1:50" ht="28.05" customHeight="1" x14ac:dyDescent="0.3">
      <c r="A2" s="43" t="s">
        <v>285</v>
      </c>
      <c r="B2" s="43" t="s">
        <v>286</v>
      </c>
      <c r="C2" s="43" t="s">
        <v>0</v>
      </c>
      <c r="D2" s="43"/>
      <c r="E2" s="43" t="s">
        <v>5</v>
      </c>
      <c r="F2" s="43" t="s">
        <v>85</v>
      </c>
      <c r="G2" s="43"/>
      <c r="H2" s="43"/>
      <c r="I2" s="43" t="s">
        <v>167</v>
      </c>
      <c r="J2" s="43" t="s">
        <v>175</v>
      </c>
      <c r="K2" s="43" t="s">
        <v>79</v>
      </c>
      <c r="L2" s="43" t="s">
        <v>103</v>
      </c>
      <c r="M2" s="43" t="s">
        <v>83</v>
      </c>
      <c r="N2" s="43" t="s">
        <v>173</v>
      </c>
      <c r="O2" s="43" t="s">
        <v>171</v>
      </c>
      <c r="P2" s="43"/>
      <c r="Q2" s="43" t="s">
        <v>287</v>
      </c>
      <c r="R2" s="43" t="s">
        <v>288</v>
      </c>
      <c r="S2" s="43"/>
      <c r="T2" s="43"/>
      <c r="U2" s="43" t="s">
        <v>24</v>
      </c>
      <c r="V2" s="43" t="s">
        <v>289</v>
      </c>
      <c r="W2" s="43" t="s">
        <v>290</v>
      </c>
      <c r="X2" s="43" t="s">
        <v>291</v>
      </c>
      <c r="Y2" s="43" t="s">
        <v>292</v>
      </c>
      <c r="Z2" s="43" t="s">
        <v>293</v>
      </c>
      <c r="AA2" s="43"/>
      <c r="AB2" s="43"/>
      <c r="AC2" s="43"/>
      <c r="AD2" s="43"/>
      <c r="AE2" s="43"/>
      <c r="AF2" s="43"/>
      <c r="AG2" s="44">
        <v>45842</v>
      </c>
      <c r="AH2" s="43">
        <v>0</v>
      </c>
      <c r="AI2" s="43">
        <v>1</v>
      </c>
      <c r="AJ2" s="43">
        <v>3</v>
      </c>
      <c r="AK2" s="43"/>
      <c r="AL2" s="43"/>
      <c r="AM2" s="44">
        <v>45842</v>
      </c>
      <c r="AN2" s="43">
        <v>3</v>
      </c>
      <c r="AO2" s="43">
        <v>0</v>
      </c>
      <c r="AP2" s="43">
        <v>1</v>
      </c>
      <c r="AQ2" s="43">
        <v>0</v>
      </c>
      <c r="AR2" s="43"/>
      <c r="AS2" s="43"/>
      <c r="AT2" s="43" t="s">
        <v>167</v>
      </c>
      <c r="AU2" s="43" t="s">
        <v>175</v>
      </c>
      <c r="AV2" s="43">
        <v>0</v>
      </c>
      <c r="AW2" s="43">
        <v>4</v>
      </c>
      <c r="AX2" s="43" t="s">
        <v>294</v>
      </c>
    </row>
    <row r="3" spans="1:50" ht="28.05" customHeight="1" x14ac:dyDescent="0.3">
      <c r="A3" s="43" t="s">
        <v>285</v>
      </c>
      <c r="B3" s="43" t="s">
        <v>295</v>
      </c>
      <c r="C3" s="43" t="s">
        <v>296</v>
      </c>
      <c r="D3" s="43"/>
      <c r="E3" s="43" t="s">
        <v>297</v>
      </c>
      <c r="F3" s="43" t="s">
        <v>85</v>
      </c>
      <c r="G3" s="43"/>
      <c r="H3" s="43"/>
      <c r="I3" s="43" t="s">
        <v>192</v>
      </c>
      <c r="J3" s="43" t="s">
        <v>175</v>
      </c>
      <c r="K3" s="43" t="s">
        <v>79</v>
      </c>
      <c r="L3" s="43" t="s">
        <v>103</v>
      </c>
      <c r="M3" s="43" t="s">
        <v>83</v>
      </c>
      <c r="N3" s="43" t="s">
        <v>186</v>
      </c>
      <c r="O3" s="43" t="s">
        <v>180</v>
      </c>
      <c r="P3" s="43"/>
      <c r="Q3" s="43" t="s">
        <v>298</v>
      </c>
      <c r="R3" s="43" t="s">
        <v>299</v>
      </c>
      <c r="S3" s="43"/>
      <c r="T3" s="43"/>
      <c r="U3" s="43" t="s">
        <v>24</v>
      </c>
      <c r="V3" s="43" t="s">
        <v>300</v>
      </c>
      <c r="W3" s="43" t="s">
        <v>301</v>
      </c>
      <c r="X3" s="43" t="s">
        <v>291</v>
      </c>
      <c r="Y3" s="43" t="s">
        <v>291</v>
      </c>
      <c r="Z3" s="43" t="s">
        <v>302</v>
      </c>
      <c r="AA3" s="43"/>
      <c r="AB3" s="43"/>
      <c r="AC3" s="43"/>
      <c r="AD3" s="43"/>
      <c r="AE3" s="43"/>
      <c r="AF3" s="43"/>
      <c r="AG3" s="44">
        <v>45849</v>
      </c>
      <c r="AH3" s="43">
        <v>0</v>
      </c>
      <c r="AI3" s="43">
        <v>1</v>
      </c>
      <c r="AJ3" s="43">
        <v>3</v>
      </c>
      <c r="AK3" s="43"/>
      <c r="AL3" s="43"/>
      <c r="AM3" s="44">
        <v>45849</v>
      </c>
      <c r="AN3" s="43">
        <v>1</v>
      </c>
      <c r="AO3" s="43">
        <v>1</v>
      </c>
      <c r="AP3" s="43">
        <v>1</v>
      </c>
      <c r="AQ3" s="43">
        <v>0</v>
      </c>
      <c r="AR3" s="43"/>
      <c r="AS3" s="43"/>
      <c r="AT3" s="43" t="s">
        <v>192</v>
      </c>
      <c r="AU3" s="43" t="s">
        <v>175</v>
      </c>
      <c r="AV3" s="43">
        <v>0</v>
      </c>
      <c r="AW3" s="43">
        <v>4</v>
      </c>
      <c r="AX3" s="43" t="s">
        <v>294</v>
      </c>
    </row>
    <row r="4" spans="1:50" ht="28.05" customHeight="1" x14ac:dyDescent="0.3">
      <c r="A4" s="43" t="s">
        <v>285</v>
      </c>
      <c r="B4" s="43" t="s">
        <v>226</v>
      </c>
      <c r="C4" s="43" t="s">
        <v>303</v>
      </c>
      <c r="D4" s="43"/>
      <c r="E4" s="43" t="s">
        <v>304</v>
      </c>
      <c r="F4" s="43" t="s">
        <v>93</v>
      </c>
      <c r="G4" s="43"/>
      <c r="H4" s="43"/>
      <c r="I4" s="43" t="s">
        <v>195</v>
      </c>
      <c r="J4" s="43" t="s">
        <v>175</v>
      </c>
      <c r="K4" s="43" t="s">
        <v>79</v>
      </c>
      <c r="L4" s="43" t="s">
        <v>85</v>
      </c>
      <c r="M4" s="43" t="s">
        <v>82</v>
      </c>
      <c r="N4" s="43" t="s">
        <v>199</v>
      </c>
      <c r="O4" s="43" t="s">
        <v>171</v>
      </c>
      <c r="P4" s="43"/>
      <c r="Q4" s="43" t="s">
        <v>305</v>
      </c>
      <c r="R4" s="43" t="s">
        <v>306</v>
      </c>
      <c r="S4" s="43"/>
      <c r="T4" s="43"/>
      <c r="U4" s="43" t="s">
        <v>24</v>
      </c>
      <c r="V4" s="43" t="s">
        <v>307</v>
      </c>
      <c r="W4" s="43" t="s">
        <v>308</v>
      </c>
      <c r="X4" s="43" t="s">
        <v>291</v>
      </c>
      <c r="Y4" s="43" t="s">
        <v>291</v>
      </c>
      <c r="Z4" s="43" t="s">
        <v>309</v>
      </c>
      <c r="AA4" s="43"/>
      <c r="AB4" s="43"/>
      <c r="AC4" s="43"/>
      <c r="AD4" s="43"/>
      <c r="AE4" s="43"/>
      <c r="AF4" s="43"/>
      <c r="AG4" s="44">
        <v>45856</v>
      </c>
      <c r="AH4" s="43">
        <v>0</v>
      </c>
      <c r="AI4" s="43">
        <v>1</v>
      </c>
      <c r="AJ4" s="43">
        <v>3</v>
      </c>
      <c r="AK4" s="43"/>
      <c r="AL4" s="43"/>
      <c r="AM4" s="44">
        <v>45856</v>
      </c>
      <c r="AN4" s="43">
        <v>1</v>
      </c>
      <c r="AO4" s="43">
        <v>1</v>
      </c>
      <c r="AP4" s="43">
        <v>1</v>
      </c>
      <c r="AQ4" s="43">
        <v>0</v>
      </c>
      <c r="AR4" s="43"/>
      <c r="AS4" s="43"/>
      <c r="AT4" s="43" t="s">
        <v>195</v>
      </c>
      <c r="AU4" s="43" t="s">
        <v>175</v>
      </c>
      <c r="AV4" s="43">
        <v>0</v>
      </c>
      <c r="AW4" s="43">
        <v>1</v>
      </c>
      <c r="AX4" s="43" t="s">
        <v>310</v>
      </c>
    </row>
    <row r="5" spans="1:50" ht="28.05" customHeight="1" x14ac:dyDescent="0.3">
      <c r="A5" s="43" t="s">
        <v>311</v>
      </c>
      <c r="B5" s="43" t="s">
        <v>65</v>
      </c>
      <c r="C5" s="43" t="s">
        <v>85</v>
      </c>
      <c r="D5" s="43"/>
      <c r="E5" s="43" t="s">
        <v>312</v>
      </c>
      <c r="F5" s="43" t="s">
        <v>85</v>
      </c>
      <c r="G5" s="43"/>
      <c r="H5" s="43"/>
      <c r="I5" s="43" t="s">
        <v>201</v>
      </c>
      <c r="J5" s="43" t="s">
        <v>175</v>
      </c>
      <c r="K5" s="43" t="s">
        <v>79</v>
      </c>
      <c r="L5" s="43" t="s">
        <v>103</v>
      </c>
      <c r="M5" s="43" t="s">
        <v>83</v>
      </c>
      <c r="N5" s="43" t="s">
        <v>204</v>
      </c>
      <c r="O5" s="43" t="s">
        <v>180</v>
      </c>
      <c r="P5" s="43"/>
      <c r="Q5" s="43" t="s">
        <v>313</v>
      </c>
      <c r="R5" s="43" t="s">
        <v>314</v>
      </c>
      <c r="S5" s="43"/>
      <c r="T5" s="43"/>
      <c r="U5" s="43" t="s">
        <v>24</v>
      </c>
      <c r="V5" s="43" t="s">
        <v>315</v>
      </c>
      <c r="W5" s="43" t="s">
        <v>316</v>
      </c>
      <c r="X5" s="43" t="s">
        <v>291</v>
      </c>
      <c r="Y5" s="43" t="s">
        <v>291</v>
      </c>
      <c r="Z5" s="43" t="s">
        <v>317</v>
      </c>
      <c r="AA5" s="43"/>
      <c r="AB5" s="43"/>
      <c r="AC5" s="43"/>
      <c r="AD5" s="43"/>
      <c r="AE5" s="43"/>
      <c r="AF5" s="43"/>
      <c r="AG5" s="44">
        <v>45863</v>
      </c>
      <c r="AH5" s="43">
        <v>0</v>
      </c>
      <c r="AI5" s="43">
        <v>1</v>
      </c>
      <c r="AJ5" s="43">
        <v>3</v>
      </c>
      <c r="AK5" s="43"/>
      <c r="AL5" s="43"/>
      <c r="AM5" s="44">
        <v>45863</v>
      </c>
      <c r="AN5" s="43">
        <v>1</v>
      </c>
      <c r="AO5" s="43">
        <v>1</v>
      </c>
      <c r="AP5" s="43">
        <v>1</v>
      </c>
      <c r="AQ5" s="43">
        <v>0</v>
      </c>
      <c r="AR5" s="43"/>
      <c r="AS5" s="43"/>
      <c r="AT5" s="43" t="s">
        <v>201</v>
      </c>
      <c r="AU5" s="43" t="s">
        <v>175</v>
      </c>
      <c r="AV5" s="43">
        <v>0</v>
      </c>
      <c r="AW5" s="43">
        <v>3</v>
      </c>
      <c r="AX5" s="43" t="s">
        <v>294</v>
      </c>
    </row>
    <row r="6" spans="1:50" ht="28.05" customHeight="1" x14ac:dyDescent="0.3">
      <c r="A6" s="43" t="s">
        <v>311</v>
      </c>
      <c r="B6" s="43" t="s">
        <v>26</v>
      </c>
      <c r="C6" s="43" t="s">
        <v>227</v>
      </c>
      <c r="D6" s="43"/>
      <c r="E6" s="43" t="s">
        <v>318</v>
      </c>
      <c r="F6" s="43" t="s">
        <v>319</v>
      </c>
      <c r="G6" s="43" t="s">
        <v>320</v>
      </c>
      <c r="H6" s="43"/>
      <c r="I6" s="43"/>
      <c r="J6" s="43"/>
      <c r="K6" s="43"/>
      <c r="L6" s="43"/>
      <c r="M6" s="43"/>
      <c r="N6" s="43"/>
      <c r="O6" s="43"/>
      <c r="P6" s="43"/>
      <c r="Q6" s="43"/>
      <c r="R6" s="43"/>
      <c r="S6" s="43"/>
      <c r="T6" s="43"/>
      <c r="U6" s="43" t="s">
        <v>28</v>
      </c>
      <c r="V6" s="43" t="s">
        <v>321</v>
      </c>
      <c r="W6" s="43" t="s">
        <v>29</v>
      </c>
      <c r="X6" s="43" t="s">
        <v>322</v>
      </c>
      <c r="Y6" s="43" t="s">
        <v>322</v>
      </c>
      <c r="Z6" s="43" t="s">
        <v>323</v>
      </c>
      <c r="AA6" s="43"/>
      <c r="AB6" s="43"/>
      <c r="AC6" s="43"/>
      <c r="AD6" s="43"/>
      <c r="AE6" s="43"/>
      <c r="AF6" s="43"/>
      <c r="AG6" s="44">
        <v>45870</v>
      </c>
      <c r="AH6" s="43">
        <v>1</v>
      </c>
      <c r="AI6" s="43">
        <v>1</v>
      </c>
      <c r="AJ6" s="43">
        <v>3</v>
      </c>
      <c r="AK6" s="43"/>
      <c r="AL6" s="43"/>
      <c r="AM6" s="44">
        <v>45870</v>
      </c>
      <c r="AN6" s="43">
        <v>4</v>
      </c>
      <c r="AO6" s="43">
        <v>0</v>
      </c>
      <c r="AP6" s="43">
        <v>0</v>
      </c>
      <c r="AQ6" s="43">
        <v>0</v>
      </c>
      <c r="AR6" s="43"/>
      <c r="AS6" s="43"/>
      <c r="AT6" s="43"/>
      <c r="AU6" s="43"/>
      <c r="AV6" s="43"/>
      <c r="AW6" s="43"/>
      <c r="AX6" s="43"/>
    </row>
    <row r="7" spans="1:50" ht="28.05" customHeight="1" x14ac:dyDescent="0.3">
      <c r="A7" s="43" t="s">
        <v>311</v>
      </c>
      <c r="B7" s="43" t="s">
        <v>114</v>
      </c>
      <c r="C7" s="43" t="s">
        <v>120</v>
      </c>
      <c r="D7" s="43"/>
      <c r="E7" s="43"/>
      <c r="F7" s="43"/>
      <c r="G7" s="43"/>
      <c r="H7" s="43"/>
      <c r="I7" s="43"/>
      <c r="J7" s="43"/>
      <c r="K7" s="43"/>
      <c r="L7" s="43"/>
      <c r="M7" s="43"/>
      <c r="N7" s="43"/>
      <c r="O7" s="43"/>
      <c r="P7" s="43"/>
      <c r="Q7" s="42" t="s">
        <v>224</v>
      </c>
      <c r="R7" s="42" t="s">
        <v>271</v>
      </c>
      <c r="S7" s="43"/>
      <c r="T7" s="43"/>
      <c r="U7" s="43" t="s">
        <v>28</v>
      </c>
      <c r="V7" s="43" t="s">
        <v>49</v>
      </c>
      <c r="W7" s="43" t="s">
        <v>30</v>
      </c>
      <c r="X7" s="43" t="s">
        <v>291</v>
      </c>
      <c r="Y7" s="43" t="s">
        <v>291</v>
      </c>
      <c r="Z7" s="43" t="s">
        <v>324</v>
      </c>
      <c r="AA7" s="43"/>
      <c r="AB7" s="43"/>
      <c r="AC7" s="43"/>
      <c r="AD7" s="43"/>
      <c r="AE7" s="43"/>
      <c r="AF7" s="43"/>
      <c r="AG7" s="44">
        <v>45877</v>
      </c>
      <c r="AH7" s="43">
        <v>0</v>
      </c>
      <c r="AI7" s="43">
        <v>1</v>
      </c>
      <c r="AJ7" s="43">
        <v>3</v>
      </c>
      <c r="AK7" s="43"/>
      <c r="AL7" s="43"/>
      <c r="AM7" s="44">
        <v>45877</v>
      </c>
      <c r="AN7" s="43">
        <v>3</v>
      </c>
      <c r="AO7" s="43">
        <v>0</v>
      </c>
      <c r="AP7" s="43">
        <v>1</v>
      </c>
      <c r="AQ7" s="43">
        <v>0</v>
      </c>
      <c r="AR7" s="43"/>
      <c r="AS7" s="43"/>
      <c r="AT7" s="43"/>
      <c r="AU7" s="43"/>
      <c r="AV7" s="43"/>
      <c r="AW7" s="43"/>
      <c r="AX7" s="43"/>
    </row>
    <row r="8" spans="1:50" ht="28.05" customHeight="1" x14ac:dyDescent="0.3">
      <c r="A8" s="43" t="s">
        <v>311</v>
      </c>
      <c r="B8" s="43" t="s">
        <v>66</v>
      </c>
      <c r="C8" s="43" t="s">
        <v>84</v>
      </c>
      <c r="D8" s="43"/>
      <c r="E8" s="43"/>
      <c r="F8" s="43"/>
      <c r="G8" s="43"/>
      <c r="H8" s="43"/>
      <c r="I8" s="43"/>
      <c r="J8" s="43"/>
      <c r="K8" s="43"/>
      <c r="L8" s="43"/>
      <c r="M8" s="43"/>
      <c r="N8" s="43"/>
      <c r="O8" s="43"/>
      <c r="P8" s="43"/>
      <c r="Q8" s="43" t="s">
        <v>325</v>
      </c>
      <c r="R8" s="43" t="s">
        <v>326</v>
      </c>
      <c r="S8" s="43"/>
      <c r="T8" s="43"/>
      <c r="U8" s="43" t="s">
        <v>28</v>
      </c>
      <c r="V8" s="43" t="s">
        <v>327</v>
      </c>
      <c r="W8" s="43" t="s">
        <v>31</v>
      </c>
      <c r="X8" s="43" t="s">
        <v>328</v>
      </c>
      <c r="Y8" s="43" t="s">
        <v>328</v>
      </c>
      <c r="Z8" s="43" t="s">
        <v>329</v>
      </c>
      <c r="AA8" s="43"/>
      <c r="AB8" s="43"/>
      <c r="AC8" s="43"/>
      <c r="AD8" s="43"/>
      <c r="AE8" s="43"/>
      <c r="AF8" s="43"/>
      <c r="AG8" s="44">
        <v>45884</v>
      </c>
      <c r="AH8" s="43">
        <v>0</v>
      </c>
      <c r="AI8" s="43">
        <v>1</v>
      </c>
      <c r="AJ8" s="43">
        <v>3</v>
      </c>
      <c r="AK8" s="43"/>
      <c r="AL8" s="43"/>
      <c r="AM8" s="44">
        <v>45884</v>
      </c>
      <c r="AN8" s="43">
        <v>4</v>
      </c>
      <c r="AO8" s="43">
        <v>0</v>
      </c>
      <c r="AP8" s="43">
        <v>0</v>
      </c>
      <c r="AQ8" s="43">
        <v>0</v>
      </c>
      <c r="AR8" s="43"/>
      <c r="AS8" s="43"/>
      <c r="AT8" s="43"/>
      <c r="AU8" s="43"/>
      <c r="AV8" s="43"/>
      <c r="AW8" s="43"/>
      <c r="AX8" s="43"/>
    </row>
    <row r="9" spans="1:50" ht="60" customHeight="1" x14ac:dyDescent="0.3">
      <c r="A9" s="43" t="s">
        <v>311</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45891</v>
      </c>
      <c r="AH9" s="43">
        <v>2</v>
      </c>
      <c r="AI9" s="43">
        <v>1</v>
      </c>
      <c r="AJ9" s="43">
        <v>3</v>
      </c>
      <c r="AK9" s="43"/>
      <c r="AL9" s="43"/>
      <c r="AM9" s="44">
        <v>45891</v>
      </c>
      <c r="AN9" s="43">
        <v>3</v>
      </c>
      <c r="AO9" s="43">
        <v>0</v>
      </c>
      <c r="AP9" s="43">
        <v>1</v>
      </c>
      <c r="AQ9" s="43">
        <v>0</v>
      </c>
      <c r="AR9" s="43"/>
      <c r="AS9" s="43"/>
      <c r="AT9" s="43"/>
      <c r="AU9" s="43"/>
      <c r="AV9" s="43"/>
      <c r="AW9" s="43"/>
      <c r="AX9" s="43"/>
    </row>
    <row r="10" spans="1:50" ht="60" customHeight="1" x14ac:dyDescent="0.3">
      <c r="A10" s="43" t="s">
        <v>311</v>
      </c>
      <c r="B10" s="43" t="s">
        <v>29</v>
      </c>
      <c r="C10" s="43" t="s">
        <v>228</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45898</v>
      </c>
      <c r="AH10" s="43">
        <v>0</v>
      </c>
      <c r="AI10" s="43">
        <v>1</v>
      </c>
      <c r="AJ10" s="43">
        <v>3</v>
      </c>
      <c r="AK10" s="43"/>
      <c r="AL10" s="43"/>
      <c r="AM10" s="44">
        <v>45898</v>
      </c>
      <c r="AN10" s="43">
        <v>3</v>
      </c>
      <c r="AO10" s="43">
        <v>0</v>
      </c>
      <c r="AP10" s="43">
        <v>1</v>
      </c>
      <c r="AQ10" s="43">
        <v>0</v>
      </c>
      <c r="AR10" s="43"/>
      <c r="AS10" s="43"/>
      <c r="AT10" s="43"/>
      <c r="AU10" s="43"/>
      <c r="AV10" s="43"/>
      <c r="AW10" s="43"/>
      <c r="AX10" s="43"/>
    </row>
    <row r="11" spans="1:50" ht="60" customHeight="1" x14ac:dyDescent="0.3">
      <c r="A11" s="43" t="s">
        <v>311</v>
      </c>
      <c r="B11" s="43" t="s">
        <v>30</v>
      </c>
      <c r="C11" s="43" t="s">
        <v>291</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45905</v>
      </c>
      <c r="AH11" s="43">
        <v>1</v>
      </c>
      <c r="AI11" s="43">
        <v>1</v>
      </c>
      <c r="AJ11" s="43">
        <v>3</v>
      </c>
      <c r="AK11" s="43"/>
      <c r="AL11" s="43"/>
      <c r="AM11" s="44">
        <v>45905</v>
      </c>
      <c r="AN11" s="43">
        <v>4</v>
      </c>
      <c r="AO11" s="43">
        <v>0</v>
      </c>
      <c r="AP11" s="43">
        <v>0</v>
      </c>
      <c r="AQ11" s="43">
        <v>0</v>
      </c>
      <c r="AR11" s="43"/>
      <c r="AS11" s="43"/>
      <c r="AT11" s="43"/>
      <c r="AU11" s="43"/>
      <c r="AV11" s="43"/>
      <c r="AW11" s="43"/>
      <c r="AX11" s="43"/>
    </row>
    <row r="12" spans="1:50" ht="22.05" customHeight="1" x14ac:dyDescent="0.3">
      <c r="A12" s="43" t="s">
        <v>311</v>
      </c>
      <c r="B12" s="43" t="s">
        <v>31</v>
      </c>
      <c r="C12" s="43" t="s">
        <v>228</v>
      </c>
      <c r="D12" s="43"/>
      <c r="E12" s="43"/>
      <c r="F12" s="43"/>
      <c r="G12" s="43"/>
      <c r="H12" s="43"/>
      <c r="I12" s="43"/>
      <c r="J12" s="43"/>
      <c r="K12" s="43"/>
      <c r="L12" s="43"/>
      <c r="M12" s="43"/>
      <c r="N12" s="43"/>
      <c r="O12" s="43"/>
      <c r="P12" s="43"/>
      <c r="Q12" s="43" t="s">
        <v>338</v>
      </c>
      <c r="R12" s="43" t="s">
        <v>339</v>
      </c>
      <c r="S12" s="43"/>
      <c r="T12" s="43"/>
      <c r="U12" s="42" t="s">
        <v>273</v>
      </c>
      <c r="V12" s="42" t="s">
        <v>272</v>
      </c>
      <c r="W12" s="42" t="s">
        <v>340</v>
      </c>
      <c r="X12" s="42" t="s">
        <v>341</v>
      </c>
      <c r="Y12" s="43"/>
      <c r="Z12" s="43"/>
      <c r="AA12" s="42" t="s">
        <v>53</v>
      </c>
      <c r="AB12" s="42" t="s">
        <v>29</v>
      </c>
      <c r="AC12" s="42" t="s">
        <v>30</v>
      </c>
      <c r="AD12" s="42" t="s">
        <v>50</v>
      </c>
      <c r="AE12" s="42" t="s">
        <v>342</v>
      </c>
      <c r="AF12" s="43"/>
      <c r="AG12" s="44">
        <v>45912</v>
      </c>
      <c r="AH12" s="43">
        <v>1</v>
      </c>
      <c r="AI12" s="43">
        <v>1</v>
      </c>
      <c r="AJ12" s="43">
        <v>3</v>
      </c>
      <c r="AK12" s="43"/>
      <c r="AL12" s="43"/>
      <c r="AM12" s="44">
        <v>45912</v>
      </c>
      <c r="AN12" s="43">
        <v>4</v>
      </c>
      <c r="AO12" s="43">
        <v>0</v>
      </c>
      <c r="AP12" s="43">
        <v>0</v>
      </c>
      <c r="AQ12" s="43">
        <v>0</v>
      </c>
      <c r="AR12" s="43"/>
      <c r="AS12" s="43"/>
      <c r="AT12" s="43"/>
      <c r="AU12" s="43"/>
      <c r="AV12" s="43"/>
      <c r="AW12" s="43"/>
      <c r="AX12" s="43"/>
    </row>
    <row r="13" spans="1:50" ht="19.95" customHeight="1" x14ac:dyDescent="0.3">
      <c r="A13" s="43" t="s">
        <v>311</v>
      </c>
      <c r="B13" s="43" t="s">
        <v>229</v>
      </c>
      <c r="C13" s="43" t="s">
        <v>343</v>
      </c>
      <c r="D13" s="43"/>
      <c r="E13" s="43"/>
      <c r="F13" s="43"/>
      <c r="G13" s="43"/>
      <c r="H13" s="43"/>
      <c r="I13" s="43"/>
      <c r="J13" s="43"/>
      <c r="K13" s="43"/>
      <c r="L13" s="43"/>
      <c r="M13" s="43"/>
      <c r="N13" s="43"/>
      <c r="O13" s="43"/>
      <c r="P13" s="43"/>
      <c r="Q13" s="43"/>
      <c r="R13" s="43"/>
      <c r="S13" s="43"/>
      <c r="T13" s="43"/>
      <c r="U13" s="43" t="s">
        <v>290</v>
      </c>
      <c r="V13" s="43" t="s">
        <v>289</v>
      </c>
      <c r="W13" s="43" t="s">
        <v>344</v>
      </c>
      <c r="X13" s="43" t="s">
        <v>345</v>
      </c>
      <c r="Y13" s="43"/>
      <c r="Z13" s="43"/>
      <c r="AA13" s="43" t="s">
        <v>346</v>
      </c>
      <c r="AB13" s="43" t="s">
        <v>347</v>
      </c>
      <c r="AC13" s="43"/>
      <c r="AD13" s="43"/>
      <c r="AE13" s="43" t="s">
        <v>348</v>
      </c>
      <c r="AF13" s="43"/>
      <c r="AG13" s="44">
        <v>45919</v>
      </c>
      <c r="AH13" s="43">
        <v>0</v>
      </c>
      <c r="AI13" s="43">
        <v>1</v>
      </c>
      <c r="AJ13" s="43">
        <v>3</v>
      </c>
      <c r="AK13" s="43"/>
      <c r="AL13" s="43"/>
      <c r="AM13" s="44">
        <v>45919</v>
      </c>
      <c r="AN13" s="43">
        <v>4</v>
      </c>
      <c r="AO13" s="43">
        <v>0</v>
      </c>
      <c r="AP13" s="43">
        <v>0</v>
      </c>
      <c r="AQ13" s="43">
        <v>0</v>
      </c>
      <c r="AR13" s="43"/>
      <c r="AS13" s="43"/>
      <c r="AT13" s="43"/>
      <c r="AU13" s="43"/>
      <c r="AV13" s="43"/>
      <c r="AW13" s="43"/>
      <c r="AX13" s="43"/>
    </row>
    <row r="14" spans="1:50" ht="22.05" customHeight="1" x14ac:dyDescent="0.3">
      <c r="A14" s="43" t="s">
        <v>311</v>
      </c>
      <c r="B14" s="43" t="s">
        <v>230</v>
      </c>
      <c r="C14" s="43" t="s">
        <v>349</v>
      </c>
      <c r="D14" s="43"/>
      <c r="E14" s="43"/>
      <c r="F14" s="43"/>
      <c r="G14" s="43"/>
      <c r="H14" s="43"/>
      <c r="I14" s="43"/>
      <c r="J14" s="43"/>
      <c r="K14" s="43"/>
      <c r="L14" s="43"/>
      <c r="M14" s="43"/>
      <c r="N14" s="43"/>
      <c r="O14" s="43"/>
      <c r="P14" s="43"/>
      <c r="Q14" s="42" t="s">
        <v>224</v>
      </c>
      <c r="R14" s="42" t="s">
        <v>350</v>
      </c>
      <c r="S14" s="42" t="s">
        <v>351</v>
      </c>
      <c r="T14" s="43"/>
      <c r="U14" s="43" t="s">
        <v>301</v>
      </c>
      <c r="V14" s="43" t="s">
        <v>300</v>
      </c>
      <c r="W14" s="43" t="s">
        <v>352</v>
      </c>
      <c r="X14" s="43" t="s">
        <v>353</v>
      </c>
      <c r="Y14" s="43"/>
      <c r="Z14" s="43"/>
      <c r="AA14" s="43" t="s">
        <v>354</v>
      </c>
      <c r="AB14" s="43"/>
      <c r="AC14" s="43" t="s">
        <v>347</v>
      </c>
      <c r="AD14" s="43"/>
      <c r="AE14" s="43" t="s">
        <v>355</v>
      </c>
      <c r="AF14" s="43"/>
      <c r="AG14" s="44">
        <v>45926</v>
      </c>
      <c r="AH14" s="43">
        <v>0</v>
      </c>
      <c r="AI14" s="43">
        <v>1</v>
      </c>
      <c r="AJ14" s="43">
        <v>3</v>
      </c>
      <c r="AK14" s="43"/>
      <c r="AL14" s="43"/>
      <c r="AM14" s="44">
        <v>45926</v>
      </c>
      <c r="AN14" s="43">
        <v>4</v>
      </c>
      <c r="AO14" s="43">
        <v>0</v>
      </c>
      <c r="AP14" s="43">
        <v>0</v>
      </c>
      <c r="AQ14" s="43">
        <v>0</v>
      </c>
      <c r="AR14" s="43"/>
      <c r="AS14" s="43"/>
      <c r="AT14" s="43"/>
      <c r="AU14" s="43"/>
      <c r="AV14" s="43"/>
      <c r="AW14" s="43"/>
      <c r="AX14" s="43"/>
    </row>
    <row r="15" spans="1:50" ht="30" customHeight="1" x14ac:dyDescent="0.3">
      <c r="A15" s="43" t="s">
        <v>311</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308</v>
      </c>
      <c r="V15" s="43" t="s">
        <v>307</v>
      </c>
      <c r="W15" s="43" t="s">
        <v>352</v>
      </c>
      <c r="X15" s="43" t="s">
        <v>353</v>
      </c>
      <c r="Y15" s="43"/>
      <c r="Z15" s="43"/>
      <c r="AA15" s="43" t="s">
        <v>361</v>
      </c>
      <c r="AB15" s="43"/>
      <c r="AC15" s="43"/>
      <c r="AD15" s="43" t="s">
        <v>362</v>
      </c>
      <c r="AE15" s="43" t="s">
        <v>363</v>
      </c>
      <c r="AF15" s="43"/>
      <c r="AG15" s="44">
        <v>45933</v>
      </c>
      <c r="AH15" s="43">
        <v>0</v>
      </c>
      <c r="AI15" s="43">
        <v>1</v>
      </c>
      <c r="AJ15" s="43">
        <v>3</v>
      </c>
      <c r="AK15" s="43"/>
      <c r="AL15" s="43"/>
      <c r="AM15" s="44">
        <v>45933</v>
      </c>
      <c r="AN15" s="43">
        <v>2</v>
      </c>
      <c r="AO15" s="43">
        <v>1</v>
      </c>
      <c r="AP15" s="43">
        <v>0</v>
      </c>
      <c r="AQ15" s="43">
        <v>1</v>
      </c>
      <c r="AR15" s="43"/>
      <c r="AS15" s="43"/>
      <c r="AT15" s="43"/>
      <c r="AU15" s="43"/>
      <c r="AV15" s="43"/>
      <c r="AW15" s="43"/>
      <c r="AX15" s="43"/>
    </row>
    <row r="16" spans="1:50" ht="30" customHeight="1" x14ac:dyDescent="0.3">
      <c r="A16" s="43" t="s">
        <v>311</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316</v>
      </c>
      <c r="V16" s="43" t="s">
        <v>315</v>
      </c>
      <c r="W16" s="43" t="s">
        <v>352</v>
      </c>
      <c r="X16" s="43" t="s">
        <v>353</v>
      </c>
      <c r="Y16" s="43"/>
      <c r="Z16" s="43"/>
      <c r="AA16" s="43" t="s">
        <v>368</v>
      </c>
      <c r="AB16" s="43" t="s">
        <v>228</v>
      </c>
      <c r="AC16" s="43" t="s">
        <v>228</v>
      </c>
      <c r="AD16" s="43" t="s">
        <v>82</v>
      </c>
      <c r="AE16" s="43" t="s">
        <v>369</v>
      </c>
      <c r="AF16" s="43"/>
      <c r="AG16" s="44">
        <v>45940</v>
      </c>
      <c r="AH16" s="43">
        <v>2</v>
      </c>
      <c r="AI16" s="43">
        <v>1</v>
      </c>
      <c r="AJ16" s="43">
        <v>3</v>
      </c>
      <c r="AK16" s="43"/>
      <c r="AL16" s="43"/>
      <c r="AM16" s="44">
        <v>45940</v>
      </c>
      <c r="AN16" s="43">
        <v>4</v>
      </c>
      <c r="AO16" s="43">
        <v>0</v>
      </c>
      <c r="AP16" s="43">
        <v>0</v>
      </c>
      <c r="AQ16" s="43">
        <v>1</v>
      </c>
      <c r="AR16" s="43"/>
      <c r="AS16" s="43"/>
      <c r="AT16" s="43"/>
      <c r="AU16" s="43"/>
      <c r="AV16" s="43"/>
      <c r="AW16" s="43"/>
      <c r="AX16" s="43"/>
    </row>
    <row r="17" spans="1:50" ht="30" customHeight="1" x14ac:dyDescent="0.3">
      <c r="A17" s="43" t="s">
        <v>311</v>
      </c>
      <c r="B17" s="43" t="s">
        <v>1</v>
      </c>
      <c r="C17" s="43" t="s">
        <v>370</v>
      </c>
      <c r="D17" s="43"/>
      <c r="E17" s="43"/>
      <c r="F17" s="43"/>
      <c r="G17" s="43"/>
      <c r="H17" s="43"/>
      <c r="I17" s="43"/>
      <c r="J17" s="43"/>
      <c r="K17" s="43"/>
      <c r="L17" s="43"/>
      <c r="M17" s="43"/>
      <c r="N17" s="43"/>
      <c r="O17" s="43"/>
      <c r="P17" s="43"/>
      <c r="Q17" s="43" t="s">
        <v>371</v>
      </c>
      <c r="R17" s="43" t="s">
        <v>28</v>
      </c>
      <c r="S17" s="43" t="s">
        <v>372</v>
      </c>
      <c r="T17" s="43"/>
      <c r="U17" s="43" t="s">
        <v>26</v>
      </c>
      <c r="V17" s="43" t="s">
        <v>373</v>
      </c>
      <c r="W17" s="43" t="s">
        <v>374</v>
      </c>
      <c r="X17" s="43" t="s">
        <v>375</v>
      </c>
      <c r="Y17" s="43"/>
      <c r="Z17" s="43"/>
      <c r="AA17" s="43" t="s">
        <v>368</v>
      </c>
      <c r="AB17" s="43" t="s">
        <v>228</v>
      </c>
      <c r="AC17" s="43" t="s">
        <v>291</v>
      </c>
      <c r="AD17" s="43" t="s">
        <v>84</v>
      </c>
      <c r="AE17" s="43" t="s">
        <v>365</v>
      </c>
      <c r="AF17" s="43"/>
      <c r="AG17" s="44">
        <v>45947</v>
      </c>
      <c r="AH17" s="43">
        <v>1</v>
      </c>
      <c r="AI17" s="43">
        <v>1</v>
      </c>
      <c r="AJ17" s="43">
        <v>3</v>
      </c>
      <c r="AK17" s="43"/>
      <c r="AL17" s="43"/>
      <c r="AM17" s="44">
        <v>45947</v>
      </c>
      <c r="AN17" s="43">
        <v>4</v>
      </c>
      <c r="AO17" s="43">
        <v>0</v>
      </c>
      <c r="AP17" s="43">
        <v>0</v>
      </c>
      <c r="AQ17" s="43">
        <v>0</v>
      </c>
      <c r="AR17" s="43"/>
      <c r="AS17" s="43"/>
      <c r="AT17" s="43"/>
      <c r="AU17" s="43"/>
      <c r="AV17" s="43"/>
      <c r="AW17" s="43"/>
      <c r="AX17" s="43"/>
    </row>
    <row r="18" spans="1:50" ht="30" customHeight="1" x14ac:dyDescent="0.3">
      <c r="A18" s="42" t="s">
        <v>266</v>
      </c>
      <c r="B18" s="42" t="s">
        <v>224</v>
      </c>
      <c r="C18" s="42" t="s">
        <v>271</v>
      </c>
      <c r="D18" s="43"/>
      <c r="E18" s="43"/>
      <c r="F18" s="43"/>
      <c r="G18" s="43"/>
      <c r="H18" s="43"/>
      <c r="I18" s="43"/>
      <c r="J18" s="43"/>
      <c r="K18" s="43"/>
      <c r="L18" s="43"/>
      <c r="M18" s="43"/>
      <c r="N18" s="43"/>
      <c r="O18" s="43"/>
      <c r="P18" s="43"/>
      <c r="Q18" s="43" t="s">
        <v>376</v>
      </c>
      <c r="R18" s="43" t="s">
        <v>327</v>
      </c>
      <c r="S18" s="43" t="s">
        <v>377</v>
      </c>
      <c r="T18" s="43"/>
      <c r="U18" s="43"/>
      <c r="V18" s="43"/>
      <c r="W18" s="43"/>
      <c r="X18" s="43"/>
      <c r="Y18" s="43"/>
      <c r="Z18" s="43"/>
      <c r="AA18" s="43" t="s">
        <v>368</v>
      </c>
      <c r="AB18" s="43" t="s">
        <v>291</v>
      </c>
      <c r="AC18" s="43" t="s">
        <v>228</v>
      </c>
      <c r="AD18" s="43" t="s">
        <v>81</v>
      </c>
      <c r="AE18" s="43" t="s">
        <v>378</v>
      </c>
      <c r="AF18" s="43"/>
      <c r="AG18" s="44">
        <v>45954</v>
      </c>
      <c r="AH18" s="43">
        <v>1</v>
      </c>
      <c r="AI18" s="43">
        <v>1</v>
      </c>
      <c r="AJ18" s="43">
        <v>3</v>
      </c>
      <c r="AK18" s="43"/>
      <c r="AL18" s="43"/>
      <c r="AM18" s="44">
        <v>45954</v>
      </c>
      <c r="AN18" s="43">
        <v>4</v>
      </c>
      <c r="AO18" s="43">
        <v>0</v>
      </c>
      <c r="AP18" s="43">
        <v>0</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32</v>
      </c>
      <c r="S19" s="43" t="s">
        <v>383</v>
      </c>
      <c r="T19" s="43"/>
      <c r="U19" s="43"/>
      <c r="V19" s="43"/>
      <c r="W19" s="43"/>
      <c r="X19" s="43"/>
      <c r="Y19" s="43"/>
      <c r="Z19" s="43"/>
      <c r="AA19" s="43" t="s">
        <v>368</v>
      </c>
      <c r="AB19" s="43" t="s">
        <v>291</v>
      </c>
      <c r="AC19" s="43" t="s">
        <v>291</v>
      </c>
      <c r="AD19" s="43" t="s">
        <v>83</v>
      </c>
      <c r="AE19" s="43" t="s">
        <v>384</v>
      </c>
      <c r="AF19" s="43"/>
      <c r="AG19" s="44">
        <v>45961</v>
      </c>
      <c r="AH19" s="43">
        <v>1</v>
      </c>
      <c r="AI19" s="43">
        <v>1</v>
      </c>
      <c r="AJ19" s="43">
        <v>3</v>
      </c>
      <c r="AK19" s="43"/>
      <c r="AL19" s="43"/>
      <c r="AM19" s="44">
        <v>45961</v>
      </c>
      <c r="AN19" s="43">
        <v>4</v>
      </c>
      <c r="AO19" s="43">
        <v>0</v>
      </c>
      <c r="AP19" s="43">
        <v>0</v>
      </c>
      <c r="AQ19" s="43">
        <v>1</v>
      </c>
      <c r="AR19" s="43"/>
      <c r="AS19" s="43"/>
      <c r="AT19" s="43"/>
      <c r="AU19" s="43"/>
      <c r="AV19" s="43"/>
      <c r="AW19" s="43"/>
      <c r="AX19" s="43"/>
    </row>
    <row r="20" spans="1:50" ht="30" customHeight="1" x14ac:dyDescent="0.3">
      <c r="A20" s="43" t="s">
        <v>379</v>
      </c>
      <c r="B20" s="43" t="s">
        <v>36</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45968</v>
      </c>
      <c r="AH20" s="43">
        <v>0</v>
      </c>
      <c r="AI20" s="43">
        <v>1</v>
      </c>
      <c r="AJ20" s="43">
        <v>3</v>
      </c>
      <c r="AK20" s="43"/>
      <c r="AL20" s="43"/>
      <c r="AM20" s="44">
        <v>45968</v>
      </c>
      <c r="AN20" s="43">
        <v>2</v>
      </c>
      <c r="AO20" s="43">
        <v>1</v>
      </c>
      <c r="AP20" s="43">
        <v>0</v>
      </c>
      <c r="AQ20" s="43">
        <v>1</v>
      </c>
      <c r="AR20" s="43"/>
      <c r="AS20" s="43"/>
      <c r="AT20" s="43"/>
      <c r="AU20" s="43"/>
      <c r="AV20" s="43"/>
      <c r="AW20" s="43"/>
      <c r="AX20" s="43"/>
    </row>
    <row r="21" spans="1:50" ht="30" customHeight="1" x14ac:dyDescent="0.3">
      <c r="A21" s="43" t="s">
        <v>379</v>
      </c>
      <c r="B21" s="43" t="s">
        <v>37</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45975</v>
      </c>
      <c r="AH21" s="43">
        <v>0</v>
      </c>
      <c r="AI21" s="43">
        <v>1</v>
      </c>
      <c r="AJ21" s="43">
        <v>3</v>
      </c>
      <c r="AK21" s="43"/>
      <c r="AL21" s="43"/>
      <c r="AM21" s="44">
        <v>45975</v>
      </c>
      <c r="AN21" s="43">
        <v>1</v>
      </c>
      <c r="AO21" s="43">
        <v>1</v>
      </c>
      <c r="AP21" s="43">
        <v>1</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28</v>
      </c>
      <c r="S22" s="43" t="s">
        <v>392</v>
      </c>
      <c r="T22" s="43"/>
      <c r="U22" s="43"/>
      <c r="V22" s="43"/>
      <c r="W22" s="43"/>
      <c r="X22" s="43"/>
      <c r="Y22" s="43"/>
      <c r="Z22" s="43"/>
      <c r="AA22" s="43"/>
      <c r="AB22" s="43"/>
      <c r="AC22" s="43"/>
      <c r="AD22" s="43"/>
      <c r="AE22" s="43"/>
      <c r="AF22" s="43"/>
      <c r="AG22" s="44">
        <v>45982</v>
      </c>
      <c r="AH22" s="43">
        <v>2</v>
      </c>
      <c r="AI22" s="43">
        <v>1</v>
      </c>
      <c r="AJ22" s="43">
        <v>3</v>
      </c>
      <c r="AK22" s="43"/>
      <c r="AL22" s="43"/>
      <c r="AM22" s="44">
        <v>45982</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327</v>
      </c>
      <c r="S23" s="43" t="s">
        <v>396</v>
      </c>
      <c r="T23" s="43"/>
      <c r="U23" s="43"/>
      <c r="V23" s="43"/>
      <c r="W23" s="43"/>
      <c r="X23" s="43"/>
      <c r="Y23" s="43"/>
      <c r="Z23" s="43"/>
      <c r="AA23" s="43"/>
      <c r="AB23" s="43"/>
      <c r="AC23" s="43"/>
      <c r="AD23" s="43"/>
      <c r="AE23" s="43"/>
      <c r="AF23" s="43"/>
      <c r="AG23" s="44">
        <v>45989</v>
      </c>
      <c r="AH23" s="43">
        <v>1</v>
      </c>
      <c r="AI23" s="43">
        <v>1</v>
      </c>
      <c r="AJ23" s="43">
        <v>3</v>
      </c>
      <c r="AK23" s="43"/>
      <c r="AL23" s="43"/>
      <c r="AM23" s="44">
        <v>45989</v>
      </c>
      <c r="AN23" s="43">
        <v>4</v>
      </c>
      <c r="AO23" s="43">
        <v>0</v>
      </c>
      <c r="AP23" s="43">
        <v>0</v>
      </c>
      <c r="AQ23" s="43">
        <v>0</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304</v>
      </c>
      <c r="S24" s="43" t="s">
        <v>398</v>
      </c>
      <c r="T24" s="43"/>
      <c r="U24" s="43"/>
      <c r="V24" s="43"/>
      <c r="W24" s="43"/>
      <c r="X24" s="43"/>
      <c r="Y24" s="43"/>
      <c r="Z24" s="43"/>
      <c r="AA24" s="43"/>
      <c r="AB24" s="43"/>
      <c r="AC24" s="43"/>
      <c r="AD24" s="43"/>
      <c r="AE24" s="43"/>
      <c r="AF24" s="43"/>
      <c r="AG24" s="44">
        <v>45996</v>
      </c>
      <c r="AH24" s="43">
        <v>0</v>
      </c>
      <c r="AI24" s="43">
        <v>1</v>
      </c>
      <c r="AJ24" s="43">
        <v>3</v>
      </c>
      <c r="AK24" s="43"/>
      <c r="AL24" s="43"/>
      <c r="AM24" s="44">
        <v>45996</v>
      </c>
      <c r="AN24" s="43">
        <v>2</v>
      </c>
      <c r="AO24" s="43">
        <v>1</v>
      </c>
      <c r="AP24" s="43">
        <v>0</v>
      </c>
      <c r="AQ24" s="43">
        <v>1</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46003</v>
      </c>
      <c r="AH25" s="43">
        <v>1</v>
      </c>
      <c r="AI25" s="43">
        <v>1</v>
      </c>
      <c r="AJ25" s="43">
        <v>3</v>
      </c>
      <c r="AK25" s="43"/>
      <c r="AL25" s="43"/>
      <c r="AM25" s="44">
        <v>46003</v>
      </c>
      <c r="AN25" s="43">
        <v>2</v>
      </c>
      <c r="AO25" s="43">
        <v>1</v>
      </c>
      <c r="AP25" s="43">
        <v>0</v>
      </c>
      <c r="AQ25" s="43">
        <v>1</v>
      </c>
      <c r="AR25" s="43"/>
      <c r="AS25" s="43"/>
      <c r="AT25" s="43"/>
      <c r="AU25" s="43"/>
      <c r="AV25" s="43"/>
      <c r="AW25" s="43"/>
      <c r="AX25" s="43"/>
    </row>
    <row r="26" spans="1:50" ht="30" customHeight="1" x14ac:dyDescent="0.3">
      <c r="A26" s="42" t="s">
        <v>266</v>
      </c>
      <c r="B26" s="42" t="s">
        <v>224</v>
      </c>
      <c r="C26" s="42" t="s">
        <v>225</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46010</v>
      </c>
      <c r="AH26" s="43">
        <v>0</v>
      </c>
      <c r="AI26" s="43">
        <v>1</v>
      </c>
      <c r="AJ26" s="43">
        <v>3</v>
      </c>
      <c r="AK26" s="43"/>
      <c r="AL26" s="43"/>
      <c r="AM26" s="44">
        <v>46010</v>
      </c>
      <c r="AN26" s="43">
        <v>2</v>
      </c>
      <c r="AO26" s="43">
        <v>1</v>
      </c>
      <c r="AP26" s="43">
        <v>0</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46017</v>
      </c>
      <c r="AH27" s="43">
        <v>0</v>
      </c>
      <c r="AI27" s="43">
        <v>1</v>
      </c>
      <c r="AJ27" s="43">
        <v>3</v>
      </c>
      <c r="AK27" s="43"/>
      <c r="AL27" s="43"/>
      <c r="AM27" s="44">
        <v>46017</v>
      </c>
      <c r="AN27" s="43">
        <v>2</v>
      </c>
      <c r="AO27" s="43">
        <v>1</v>
      </c>
      <c r="AP27" s="43">
        <v>0</v>
      </c>
      <c r="AQ27" s="43">
        <v>1</v>
      </c>
      <c r="AR27" s="43"/>
      <c r="AS27" s="43"/>
      <c r="AT27" s="43"/>
      <c r="AU27" s="43"/>
      <c r="AV27" s="43"/>
      <c r="AW27" s="43"/>
      <c r="AX27" s="43"/>
    </row>
    <row r="28" spans="1:50" ht="30" customHeight="1" x14ac:dyDescent="0.3">
      <c r="A28" s="43" t="s">
        <v>401</v>
      </c>
      <c r="B28" s="43" t="s">
        <v>406</v>
      </c>
      <c r="C28" s="43" t="s">
        <v>92</v>
      </c>
      <c r="D28" s="43"/>
      <c r="E28" s="43"/>
      <c r="F28" s="43"/>
      <c r="G28" s="43"/>
      <c r="H28" s="43"/>
      <c r="I28" s="43"/>
      <c r="J28" s="43"/>
      <c r="K28" s="43"/>
      <c r="L28" s="43"/>
      <c r="M28" s="43"/>
      <c r="N28" s="43"/>
      <c r="O28" s="43"/>
      <c r="P28" s="43"/>
      <c r="Q28" s="43" t="s">
        <v>407</v>
      </c>
      <c r="R28" s="43" t="s">
        <v>28</v>
      </c>
      <c r="S28" s="43" t="s">
        <v>408</v>
      </c>
      <c r="T28" s="43"/>
      <c r="U28" s="43"/>
      <c r="V28" s="43"/>
      <c r="W28" s="43"/>
      <c r="X28" s="43"/>
      <c r="Y28" s="43"/>
      <c r="Z28" s="43"/>
      <c r="AA28" s="43"/>
      <c r="AB28" s="43"/>
      <c r="AC28" s="43"/>
      <c r="AD28" s="43"/>
      <c r="AE28" s="43"/>
      <c r="AF28" s="43"/>
      <c r="AG28" s="44">
        <v>46024</v>
      </c>
      <c r="AH28" s="43">
        <v>0</v>
      </c>
      <c r="AI28" s="43">
        <v>1</v>
      </c>
      <c r="AJ28" s="43">
        <v>3</v>
      </c>
      <c r="AK28" s="43"/>
      <c r="AL28" s="43"/>
      <c r="AM28" s="44">
        <v>46024</v>
      </c>
      <c r="AN28" s="43">
        <v>2</v>
      </c>
      <c r="AO28" s="43">
        <v>1</v>
      </c>
      <c r="AP28" s="43">
        <v>0</v>
      </c>
      <c r="AQ28" s="43">
        <v>1</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46031</v>
      </c>
      <c r="AH29" s="43">
        <v>0</v>
      </c>
      <c r="AI29" s="43">
        <v>1</v>
      </c>
      <c r="AJ29" s="43">
        <v>3</v>
      </c>
      <c r="AK29" s="43"/>
      <c r="AL29" s="43"/>
      <c r="AM29" s="44">
        <v>46031</v>
      </c>
      <c r="AN29" s="43">
        <v>3</v>
      </c>
      <c r="AO29" s="43">
        <v>0</v>
      </c>
      <c r="AP29" s="43">
        <v>1</v>
      </c>
      <c r="AQ29" s="43">
        <v>0</v>
      </c>
      <c r="AR29" s="43"/>
      <c r="AS29" s="43"/>
      <c r="AT29" s="43"/>
      <c r="AU29" s="43"/>
      <c r="AV29" s="43"/>
      <c r="AW29" s="43"/>
      <c r="AX29" s="43"/>
    </row>
    <row r="30" spans="1:50" ht="30" customHeight="1" x14ac:dyDescent="0.3">
      <c r="A30" s="43" t="s">
        <v>401</v>
      </c>
      <c r="B30" s="43" t="s">
        <v>413</v>
      </c>
      <c r="C30" s="43" t="s">
        <v>84</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46038</v>
      </c>
      <c r="AH30" s="43">
        <v>0</v>
      </c>
      <c r="AI30" s="43">
        <v>1</v>
      </c>
      <c r="AJ30" s="43">
        <v>3</v>
      </c>
      <c r="AK30" s="43"/>
      <c r="AL30" s="43"/>
      <c r="AM30" s="44">
        <v>46038</v>
      </c>
      <c r="AN30" s="43">
        <v>1</v>
      </c>
      <c r="AO30" s="43">
        <v>1</v>
      </c>
      <c r="AP30" s="43">
        <v>1</v>
      </c>
      <c r="AQ30" s="43">
        <v>0</v>
      </c>
      <c r="AR30" s="43"/>
      <c r="AS30" s="43"/>
      <c r="AT30" s="43"/>
      <c r="AU30" s="43"/>
      <c r="AV30" s="43"/>
      <c r="AW30" s="43"/>
      <c r="AX30" s="43"/>
    </row>
    <row r="31" spans="1:50" ht="30" customHeight="1" x14ac:dyDescent="0.3">
      <c r="A31" s="43" t="s">
        <v>401</v>
      </c>
      <c r="B31" s="43" t="s">
        <v>414</v>
      </c>
      <c r="C31" s="43" t="s">
        <v>228</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46045</v>
      </c>
      <c r="AH31" s="43">
        <v>0</v>
      </c>
      <c r="AI31" s="43">
        <v>1</v>
      </c>
      <c r="AJ31" s="43">
        <v>3</v>
      </c>
      <c r="AK31" s="43"/>
      <c r="AL31" s="43"/>
      <c r="AM31" s="44">
        <v>46045</v>
      </c>
      <c r="AN31" s="43">
        <v>1</v>
      </c>
      <c r="AO31" s="43">
        <v>1</v>
      </c>
      <c r="AP31" s="43">
        <v>1</v>
      </c>
      <c r="AQ31" s="43">
        <v>1</v>
      </c>
      <c r="AR31" s="43"/>
      <c r="AS31" s="43"/>
      <c r="AT31" s="43"/>
      <c r="AU31" s="43"/>
      <c r="AV31" s="43"/>
      <c r="AW31" s="43"/>
      <c r="AX31" s="43"/>
    </row>
    <row r="32" spans="1:50" ht="30" customHeight="1" x14ac:dyDescent="0.3">
      <c r="A32" s="43" t="s">
        <v>401</v>
      </c>
      <c r="B32" s="43" t="s">
        <v>417</v>
      </c>
      <c r="C32" s="43" t="s">
        <v>291</v>
      </c>
      <c r="D32" s="43"/>
      <c r="E32" s="43"/>
      <c r="F32" s="43"/>
      <c r="G32" s="43"/>
      <c r="H32" s="43"/>
      <c r="I32" s="43"/>
      <c r="J32" s="43"/>
      <c r="K32" s="43"/>
      <c r="L32" s="43"/>
      <c r="M32" s="43"/>
      <c r="N32" s="43"/>
      <c r="O32" s="43"/>
      <c r="P32" s="43"/>
      <c r="Q32" s="43" t="s">
        <v>418</v>
      </c>
      <c r="R32" s="43" t="s">
        <v>28</v>
      </c>
      <c r="S32" s="43" t="s">
        <v>419</v>
      </c>
      <c r="T32" s="43"/>
      <c r="U32" s="43"/>
      <c r="V32" s="43"/>
      <c r="W32" s="43"/>
      <c r="X32" s="43"/>
      <c r="Y32" s="43"/>
      <c r="Z32" s="43"/>
      <c r="AA32" s="43"/>
      <c r="AB32" s="43"/>
      <c r="AC32" s="43"/>
      <c r="AD32" s="43"/>
      <c r="AE32" s="43"/>
      <c r="AF32" s="43"/>
      <c r="AG32" s="44">
        <v>46052</v>
      </c>
      <c r="AH32" s="43">
        <v>0</v>
      </c>
      <c r="AI32" s="43">
        <v>1</v>
      </c>
      <c r="AJ32" s="43">
        <v>3</v>
      </c>
      <c r="AK32" s="43"/>
      <c r="AL32" s="43"/>
      <c r="AM32" s="44">
        <v>46052</v>
      </c>
      <c r="AN32" s="43">
        <v>1</v>
      </c>
      <c r="AO32" s="43">
        <v>1</v>
      </c>
      <c r="AP32" s="43">
        <v>1</v>
      </c>
      <c r="AQ32" s="43">
        <v>0</v>
      </c>
      <c r="AR32" s="43"/>
      <c r="AS32" s="43"/>
      <c r="AT32" s="43"/>
      <c r="AU32" s="43"/>
      <c r="AV32" s="43"/>
      <c r="AW32" s="43"/>
      <c r="AX32" s="43"/>
    </row>
    <row r="33" spans="1:50" ht="30" customHeight="1" x14ac:dyDescent="0.3">
      <c r="A33" s="43" t="s">
        <v>401</v>
      </c>
      <c r="B33" s="43" t="s">
        <v>420</v>
      </c>
      <c r="C33" s="43" t="s">
        <v>228</v>
      </c>
      <c r="D33" s="43"/>
      <c r="E33" s="43"/>
      <c r="F33" s="43"/>
      <c r="G33" s="43"/>
      <c r="H33" s="43"/>
      <c r="I33" s="43"/>
      <c r="J33" s="43"/>
      <c r="K33" s="43"/>
      <c r="L33" s="43"/>
      <c r="M33" s="43"/>
      <c r="N33" s="43"/>
      <c r="O33" s="43"/>
      <c r="P33" s="43"/>
      <c r="Q33" s="43" t="s">
        <v>421</v>
      </c>
      <c r="R33" s="43" t="s">
        <v>327</v>
      </c>
      <c r="S33" s="43" t="s">
        <v>422</v>
      </c>
      <c r="T33" s="43"/>
      <c r="U33" s="43"/>
      <c r="V33" s="43"/>
      <c r="W33" s="43"/>
      <c r="X33" s="43"/>
      <c r="Y33" s="43"/>
      <c r="Z33" s="43"/>
      <c r="AA33" s="43"/>
      <c r="AB33" s="43"/>
      <c r="AC33" s="43"/>
      <c r="AD33" s="43"/>
      <c r="AE33" s="43"/>
      <c r="AF33" s="43"/>
      <c r="AG33" s="44">
        <v>46059</v>
      </c>
      <c r="AH33" s="43">
        <v>1</v>
      </c>
      <c r="AI33" s="43">
        <v>1</v>
      </c>
      <c r="AJ33" s="43">
        <v>3</v>
      </c>
      <c r="AK33" s="43"/>
      <c r="AL33" s="43"/>
      <c r="AM33" s="44">
        <v>46059</v>
      </c>
      <c r="AN33" s="43">
        <v>1</v>
      </c>
      <c r="AO33" s="43">
        <v>1</v>
      </c>
      <c r="AP33" s="43">
        <v>1</v>
      </c>
      <c r="AQ33" s="43">
        <v>0</v>
      </c>
      <c r="AR33" s="43"/>
      <c r="AS33" s="43"/>
      <c r="AT33" s="43"/>
      <c r="AU33" s="43"/>
      <c r="AV33" s="43"/>
      <c r="AW33" s="43"/>
      <c r="AX33" s="43"/>
    </row>
    <row r="34" spans="1:50" ht="30" customHeight="1" x14ac:dyDescent="0.3">
      <c r="A34" s="43" t="s">
        <v>401</v>
      </c>
      <c r="B34" s="43" t="s">
        <v>423</v>
      </c>
      <c r="C34" s="43" t="s">
        <v>85</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46066</v>
      </c>
      <c r="AH34" s="43">
        <v>1</v>
      </c>
      <c r="AI34" s="43">
        <v>1</v>
      </c>
      <c r="AJ34" s="43">
        <v>3</v>
      </c>
      <c r="AK34" s="43"/>
      <c r="AL34" s="43"/>
      <c r="AM34" s="44">
        <v>46066</v>
      </c>
      <c r="AN34" s="43">
        <v>4</v>
      </c>
      <c r="AO34" s="43">
        <v>0</v>
      </c>
      <c r="AP34" s="43">
        <v>0</v>
      </c>
      <c r="AQ34" s="43">
        <v>0</v>
      </c>
      <c r="AR34" s="43"/>
      <c r="AS34" s="43"/>
      <c r="AT34" s="43"/>
      <c r="AU34" s="43"/>
      <c r="AV34" s="43"/>
      <c r="AW34" s="43"/>
      <c r="AX34" s="43"/>
    </row>
    <row r="35" spans="1:50" ht="30" customHeight="1" x14ac:dyDescent="0.3">
      <c r="A35" s="43" t="s">
        <v>401</v>
      </c>
      <c r="B35" s="43" t="s">
        <v>426</v>
      </c>
      <c r="C35" s="43" t="s">
        <v>85</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46073</v>
      </c>
      <c r="AH35" s="43">
        <v>1</v>
      </c>
      <c r="AI35" s="43">
        <v>1</v>
      </c>
      <c r="AJ35" s="43">
        <v>3</v>
      </c>
      <c r="AK35" s="43"/>
      <c r="AL35" s="43"/>
      <c r="AM35" s="44">
        <v>46073</v>
      </c>
      <c r="AN35" s="43">
        <v>4</v>
      </c>
      <c r="AO35" s="43">
        <v>0</v>
      </c>
      <c r="AP35" s="43">
        <v>0</v>
      </c>
      <c r="AQ35" s="43">
        <v>0</v>
      </c>
      <c r="AR35" s="43"/>
      <c r="AS35" s="43"/>
      <c r="AT35" s="43"/>
      <c r="AU35" s="43"/>
      <c r="AV35" s="43"/>
      <c r="AW35" s="43"/>
      <c r="AX35" s="43"/>
    </row>
    <row r="36" spans="1:50" ht="30" customHeight="1" x14ac:dyDescent="0.3">
      <c r="A36" s="43" t="s">
        <v>401</v>
      </c>
      <c r="B36" s="43" t="s">
        <v>427</v>
      </c>
      <c r="C36" s="43" t="s">
        <v>93</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46080</v>
      </c>
      <c r="AH36" s="43">
        <v>1</v>
      </c>
      <c r="AI36" s="43">
        <v>1</v>
      </c>
      <c r="AJ36" s="43">
        <v>3</v>
      </c>
      <c r="AK36" s="43"/>
      <c r="AL36" s="43"/>
      <c r="AM36" s="44">
        <v>46080</v>
      </c>
      <c r="AN36" s="43">
        <v>4</v>
      </c>
      <c r="AO36" s="43">
        <v>0</v>
      </c>
      <c r="AP36" s="43">
        <v>0</v>
      </c>
      <c r="AQ36" s="43">
        <v>0</v>
      </c>
      <c r="AR36" s="43"/>
      <c r="AS36" s="43"/>
      <c r="AT36" s="43"/>
      <c r="AU36" s="43"/>
      <c r="AV36" s="43"/>
      <c r="AW36" s="43"/>
      <c r="AX36" s="43"/>
    </row>
    <row r="37" spans="1:50" ht="30" customHeight="1" x14ac:dyDescent="0.3">
      <c r="A37" s="43" t="s">
        <v>401</v>
      </c>
      <c r="B37" s="43" t="s">
        <v>430</v>
      </c>
      <c r="C37" s="43" t="s">
        <v>85</v>
      </c>
      <c r="D37" s="43"/>
      <c r="E37" s="43"/>
      <c r="F37" s="43"/>
      <c r="G37" s="43"/>
      <c r="H37" s="43"/>
      <c r="I37" s="43"/>
      <c r="J37" s="43"/>
      <c r="K37" s="43"/>
      <c r="L37" s="43"/>
      <c r="M37" s="43"/>
      <c r="N37" s="43"/>
      <c r="O37" s="43"/>
      <c r="P37" s="43"/>
      <c r="Q37" s="43" t="s">
        <v>431</v>
      </c>
      <c r="R37" s="43" t="s">
        <v>318</v>
      </c>
      <c r="S37" s="43" t="s">
        <v>432</v>
      </c>
      <c r="T37" s="43"/>
      <c r="U37" s="43"/>
      <c r="V37" s="43"/>
      <c r="W37" s="43"/>
      <c r="X37" s="43"/>
      <c r="Y37" s="43"/>
      <c r="Z37" s="43"/>
      <c r="AA37" s="43"/>
      <c r="AB37" s="43"/>
      <c r="AC37" s="43"/>
      <c r="AD37" s="43"/>
      <c r="AE37" s="43"/>
      <c r="AF37" s="43"/>
      <c r="AG37" s="44">
        <v>46087</v>
      </c>
      <c r="AH37" s="43">
        <v>2</v>
      </c>
      <c r="AI37" s="43">
        <v>1</v>
      </c>
      <c r="AJ37" s="43">
        <v>3</v>
      </c>
      <c r="AK37" s="43"/>
      <c r="AL37" s="43"/>
      <c r="AM37" s="44">
        <v>46087</v>
      </c>
      <c r="AN37" s="43">
        <v>3</v>
      </c>
      <c r="AO37" s="43">
        <v>0</v>
      </c>
      <c r="AP37" s="43">
        <v>1</v>
      </c>
      <c r="AQ37" s="43">
        <v>0</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46094</v>
      </c>
      <c r="AH38" s="43">
        <v>2</v>
      </c>
      <c r="AI38" s="43">
        <v>1</v>
      </c>
      <c r="AJ38" s="43">
        <v>3</v>
      </c>
      <c r="AK38" s="43"/>
      <c r="AL38" s="43"/>
      <c r="AM38" s="44">
        <v>46094</v>
      </c>
      <c r="AN38" s="43">
        <v>1</v>
      </c>
      <c r="AO38" s="43">
        <v>1</v>
      </c>
      <c r="AP38" s="43">
        <v>1</v>
      </c>
      <c r="AQ38" s="43">
        <v>1</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46101</v>
      </c>
      <c r="AH39" s="43">
        <v>3</v>
      </c>
      <c r="AI39" s="43">
        <v>1</v>
      </c>
      <c r="AJ39" s="43">
        <v>3</v>
      </c>
      <c r="AK39" s="43"/>
      <c r="AL39" s="43"/>
      <c r="AM39" s="44">
        <v>46101</v>
      </c>
      <c r="AN39" s="43">
        <v>1</v>
      </c>
      <c r="AO39" s="43">
        <v>1</v>
      </c>
      <c r="AP39" s="43">
        <v>1</v>
      </c>
      <c r="AQ39" s="43">
        <v>1</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46108</v>
      </c>
      <c r="AH40" s="43">
        <v>3</v>
      </c>
      <c r="AI40" s="43">
        <v>1</v>
      </c>
      <c r="AJ40" s="43">
        <v>3</v>
      </c>
      <c r="AK40" s="43"/>
      <c r="AL40" s="43"/>
      <c r="AM40" s="44">
        <v>46108</v>
      </c>
      <c r="AN40" s="43">
        <v>1</v>
      </c>
      <c r="AO40" s="43">
        <v>1</v>
      </c>
      <c r="AP40" s="43">
        <v>1</v>
      </c>
      <c r="AQ40" s="43">
        <v>1</v>
      </c>
      <c r="AR40" s="43"/>
      <c r="AS40" s="43"/>
      <c r="AT40" s="43"/>
      <c r="AU40" s="43"/>
      <c r="AV40" s="43"/>
      <c r="AW40" s="43"/>
      <c r="AX40" s="43"/>
    </row>
    <row r="41" spans="1:50" ht="19.95" customHeight="1" x14ac:dyDescent="0.3">
      <c r="A41" s="42" t="s">
        <v>266</v>
      </c>
      <c r="B41" s="42" t="s">
        <v>224</v>
      </c>
      <c r="C41" s="42" t="s">
        <v>225</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46115</v>
      </c>
      <c r="AH41" s="43">
        <v>2</v>
      </c>
      <c r="AI41" s="43">
        <v>1</v>
      </c>
      <c r="AJ41" s="43">
        <v>3</v>
      </c>
      <c r="AK41" s="43"/>
      <c r="AL41" s="43"/>
      <c r="AM41" s="44">
        <v>46115</v>
      </c>
      <c r="AN41" s="43">
        <v>1</v>
      </c>
      <c r="AO41" s="43">
        <v>1</v>
      </c>
      <c r="AP41" s="43">
        <v>1</v>
      </c>
      <c r="AQ41" s="43">
        <v>1</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46122</v>
      </c>
      <c r="AH42" s="43">
        <v>1</v>
      </c>
      <c r="AI42" s="43">
        <v>1</v>
      </c>
      <c r="AJ42" s="43">
        <v>3</v>
      </c>
      <c r="AK42" s="43"/>
      <c r="AL42" s="43"/>
      <c r="AM42" s="44">
        <v>46122</v>
      </c>
      <c r="AN42" s="43">
        <v>2</v>
      </c>
      <c r="AO42" s="43">
        <v>1</v>
      </c>
      <c r="AP42" s="43">
        <v>0</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46129</v>
      </c>
      <c r="AH43" s="43">
        <v>0</v>
      </c>
      <c r="AI43" s="43">
        <v>1</v>
      </c>
      <c r="AJ43" s="43">
        <v>3</v>
      </c>
      <c r="AK43" s="43"/>
      <c r="AL43" s="43"/>
      <c r="AM43" s="44">
        <v>46129</v>
      </c>
      <c r="AN43" s="43">
        <v>4</v>
      </c>
      <c r="AO43" s="43">
        <v>0</v>
      </c>
      <c r="AP43" s="43">
        <v>0</v>
      </c>
      <c r="AQ43" s="43">
        <v>0</v>
      </c>
      <c r="AR43" s="43"/>
      <c r="AS43" s="43"/>
      <c r="AT43" s="43"/>
      <c r="AU43" s="43"/>
      <c r="AV43" s="43"/>
      <c r="AW43" s="43"/>
      <c r="AX43" s="43"/>
    </row>
    <row r="44" spans="1:50" ht="19.95" customHeight="1" x14ac:dyDescent="0.3">
      <c r="A44" s="43" t="s">
        <v>434</v>
      </c>
      <c r="B44" s="43" t="s">
        <v>235</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46136</v>
      </c>
      <c r="AH44" s="43">
        <v>0</v>
      </c>
      <c r="AI44" s="43">
        <v>1</v>
      </c>
      <c r="AJ44" s="43">
        <v>3</v>
      </c>
      <c r="AK44" s="43"/>
      <c r="AL44" s="43"/>
      <c r="AM44" s="44">
        <v>46136</v>
      </c>
      <c r="AN44" s="43">
        <v>3</v>
      </c>
      <c r="AO44" s="43">
        <v>0</v>
      </c>
      <c r="AP44" s="43">
        <v>1</v>
      </c>
      <c r="AQ44" s="43">
        <v>0</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46143</v>
      </c>
      <c r="AH45" s="43">
        <v>0</v>
      </c>
      <c r="AI45" s="43">
        <v>1</v>
      </c>
      <c r="AJ45" s="43">
        <v>3</v>
      </c>
      <c r="AK45" s="43"/>
      <c r="AL45" s="43"/>
      <c r="AM45" s="44">
        <v>46143</v>
      </c>
      <c r="AN45" s="43">
        <v>1</v>
      </c>
      <c r="AO45" s="43">
        <v>1</v>
      </c>
      <c r="AP45" s="43">
        <v>1</v>
      </c>
      <c r="AQ45" s="43">
        <v>0</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46150</v>
      </c>
      <c r="AH46" s="43">
        <v>0</v>
      </c>
      <c r="AI46" s="43">
        <v>1</v>
      </c>
      <c r="AJ46" s="43">
        <v>3</v>
      </c>
      <c r="AK46" s="43"/>
      <c r="AL46" s="43"/>
      <c r="AM46" s="44">
        <v>46150</v>
      </c>
      <c r="AN46" s="43">
        <v>1</v>
      </c>
      <c r="AO46" s="43">
        <v>1</v>
      </c>
      <c r="AP46" s="43">
        <v>1</v>
      </c>
      <c r="AQ46" s="43">
        <v>0</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46157</v>
      </c>
      <c r="AH47" s="43">
        <v>0</v>
      </c>
      <c r="AI47" s="43">
        <v>1</v>
      </c>
      <c r="AJ47" s="43">
        <v>3</v>
      </c>
      <c r="AK47" s="43"/>
      <c r="AL47" s="43"/>
      <c r="AM47" s="44">
        <v>46157</v>
      </c>
      <c r="AN47" s="43">
        <v>1</v>
      </c>
      <c r="AO47" s="43">
        <v>1</v>
      </c>
      <c r="AP47" s="43">
        <v>1</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46164</v>
      </c>
      <c r="AH48" s="43">
        <v>0</v>
      </c>
      <c r="AI48" s="43">
        <v>1</v>
      </c>
      <c r="AJ48" s="43">
        <v>3</v>
      </c>
      <c r="AK48" s="43"/>
      <c r="AL48" s="43"/>
      <c r="AM48" s="44">
        <v>46164</v>
      </c>
      <c r="AN48" s="43">
        <v>1</v>
      </c>
      <c r="AO48" s="43">
        <v>1</v>
      </c>
      <c r="AP48" s="43">
        <v>1</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46171</v>
      </c>
      <c r="AH49" s="43">
        <v>0</v>
      </c>
      <c r="AI49" s="43">
        <v>1</v>
      </c>
      <c r="AJ49" s="43">
        <v>3</v>
      </c>
      <c r="AK49" s="43"/>
      <c r="AL49" s="43"/>
      <c r="AM49" s="44">
        <v>46171</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46178</v>
      </c>
      <c r="AH50" s="43">
        <v>1</v>
      </c>
      <c r="AI50" s="43">
        <v>1</v>
      </c>
      <c r="AJ50" s="43">
        <v>3</v>
      </c>
      <c r="AK50" s="43"/>
      <c r="AL50" s="43"/>
      <c r="AM50" s="44">
        <v>46178</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46185</v>
      </c>
      <c r="AH51" s="43">
        <v>0</v>
      </c>
      <c r="AI51" s="43">
        <v>1</v>
      </c>
      <c r="AJ51" s="43">
        <v>3</v>
      </c>
      <c r="AK51" s="43"/>
      <c r="AL51" s="43"/>
      <c r="AM51" s="44">
        <v>46185</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46192</v>
      </c>
      <c r="AH52" s="43">
        <v>0</v>
      </c>
      <c r="AI52" s="43">
        <v>1</v>
      </c>
      <c r="AJ52" s="43">
        <v>3</v>
      </c>
      <c r="AK52" s="43"/>
      <c r="AL52" s="43"/>
      <c r="AM52" s="44">
        <v>46192</v>
      </c>
      <c r="AN52" s="43">
        <v>2</v>
      </c>
      <c r="AO52" s="43">
        <v>1</v>
      </c>
      <c r="AP52" s="43">
        <v>0</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46199</v>
      </c>
      <c r="AH53" s="43">
        <v>1</v>
      </c>
      <c r="AI53" s="43">
        <v>1</v>
      </c>
      <c r="AJ53" s="43">
        <v>3</v>
      </c>
      <c r="AK53" s="43">
        <v>1</v>
      </c>
      <c r="AL53" s="43"/>
      <c r="AM53" s="44">
        <v>46199</v>
      </c>
      <c r="AN53" s="43">
        <v>2</v>
      </c>
      <c r="AO53" s="43">
        <v>1</v>
      </c>
      <c r="AP53" s="43">
        <v>0</v>
      </c>
      <c r="AQ53" s="43">
        <v>1</v>
      </c>
      <c r="AR53" s="43">
        <v>2</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2026-06-17T18:18:27Z</cp:lastPrinted>
  <dcterms:created xsi:type="dcterms:W3CDTF">2026-06-03T19:42:20Z</dcterms:created>
  <dcterms:modified xsi:type="dcterms:W3CDTF">2026-06-28T04:26:56Z</dcterms:modified>
</cp:coreProperties>
</file>